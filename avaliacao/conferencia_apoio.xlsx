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85b3f3716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erencia" sheetId="1" r:id="Rcf3691d73baa4e08"/>
    <x:sheet xmlns:r="http://schemas.openxmlformats.org/officeDocument/2006/relationships" name="Lotes" sheetId="2" r:id="R8788133111bf45e5"/>
    <x:sheet xmlns:r="http://schemas.openxmlformats.org/officeDocument/2006/relationships" name="Capacidade" sheetId="3" r:id="R6ce03c1e13c74189"/>
    <x:sheet xmlns:r="http://schemas.openxmlformats.org/officeDocument/2006/relationships" name="Plano" sheetId="4" r:id="R0c75515d8f8244d6"/>
    <x:sheet xmlns:r="http://schemas.openxmlformats.org/officeDocument/2006/relationships" name="Comparacao" sheetId="5" r:id="Rdeda4c9db8cd455a"/>
    <x:sheet xmlns:r="http://schemas.openxmlformats.org/officeDocument/2006/relationships" name="Estoque" sheetId="6" r:id="R07f856ce4f3c4c0e"/>
    <x:sheet xmlns:r="http://schemas.openxmlformats.org/officeDocument/2006/relationships" name="Historico" sheetId="7" r:id="R5058d079c2d5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000000"/>
    <x:numFmt numFmtId="202" formatCode="0"/>
    <x:numFmt numFmtId="203" formatCode="General"/>
  </x:numFmts>
  <x:fonts count="7">
    <x:font>
      <x:sz val="11"/>
      <x:name val="Carlito"/>
    </x:font>
    <x:font>
      <x:sz val="10"/>
      <x:color rgb="FF172B3A"/>
      <x:name val="Arial"/>
    </x:font>
    <x:font>
      <x:b/>
      <x:sz val="17"/>
      <x:color rgb="FF174D6A"/>
      <x:name val="Arial"/>
    </x:font>
    <x:font>
      <x:sz val="10"/>
      <x:color rgb="FF586A78"/>
      <x:name val="Arial"/>
    </x:font>
    <x:font>
      <x:b/>
      <x:sz val="10"/>
      <x:color rgb="FFFFFFFF"/>
      <x:name val="Arial"/>
    </x:font>
    <x:font>
      <x:sz val="10"/>
      <x:color rgb="FF166352"/>
      <x:name val="Arial"/>
    </x:font>
    <x:font>
      <x:sz val="10"/>
      <x:color rgb="FF9B65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F0F4"/>
      </x:patternFill>
    </x:fill>
    <x:fill>
      <x:patternFill patternType="solid">
        <x:fgColor rgb="FF174D6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DEF3E8"/>
        </x:patternFill>
      </x:fill>
    </x:dxf>
    <x:dxf>
      <x:fill>
        <x:patternFill>
          <x:bgColor rgb="FFFFE3DD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ac80129f2485a" /><Relationship Type="http://schemas.openxmlformats.org/officeDocument/2006/relationships/theme" Target="/xl/theme/theme1.xml" Id="Re5e8b751ef624f30" /><Relationship Type="http://schemas.openxmlformats.org/officeDocument/2006/relationships/sharedStrings" Target="/xl/sharedStrings.xml" Id="R5a7d53839fc94bac" /><Relationship Type="http://schemas.openxmlformats.org/officeDocument/2006/relationships/worksheet" Target="/xl/worksheets/sheet1.xml" Id="Rcf3691d73baa4e08" /><Relationship Type="http://schemas.openxmlformats.org/officeDocument/2006/relationships/worksheet" Target="/xl/worksheets/sheet2.xml" Id="R8788133111bf45e5" /><Relationship Type="http://schemas.openxmlformats.org/officeDocument/2006/relationships/worksheet" Target="/xl/worksheets/sheet3.xml" Id="R6ce03c1e13c74189" /><Relationship Type="http://schemas.openxmlformats.org/officeDocument/2006/relationships/worksheet" Target="/xl/worksheets/sheet4.xml" Id="R0c75515d8f8244d6" /><Relationship Type="http://schemas.openxmlformats.org/officeDocument/2006/relationships/worksheet" Target="/xl/worksheets/sheet5.xml" Id="Rdeda4c9db8cd455a" /><Relationship Type="http://schemas.openxmlformats.org/officeDocument/2006/relationships/worksheet" Target="/xl/worksheets/sheet6.xml" Id="R07f856ce4f3c4c0e" /><Relationship Type="http://schemas.openxmlformats.org/officeDocument/2006/relationships/worksheet" Target="/xl/worksheets/sheet7.xml" Id="R5058d079c2d54b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2" hidden="0" customWidth="1"/>
    <x:col min="4" max="4" width="22" hidden="0" customWidth="1"/>
    <x:col min="5" max="5" width="37" hidden="0" customWidth="1"/>
    <x:col min="6" max="6" width="6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Conferência das regras | apoio à revisão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Preparada a partir das duas entradas. Revisão humana e execução final no Colab: pendentes.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A3" s="18" t="str">
        <x:v>Obtidos: execução LOCAL de 11/10/2026. Revisão humana e repetição no Colab ainda pendentes.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1" customHeight="1">
      <x:c r="A5" s="1" t="str">
        <x:v>Data de referência</x:v>
      </x:c>
      <x:c r="B5" s="8" t="n">
        <x:v>46182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1" customHeight="1">
      <x:c r="A6" s="1" t="str">
        <x:v>Dias por mês</x:v>
      </x:c>
      <x:c r="B6" s="1" t="n">
        <x:v>30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1" customHeight="1">
      <x:c r="A7" s="1" t="str">
        <x:v>Tolerância numérica</x:v>
      </x:c>
      <x:c r="B7" s="21" t="n">
        <x:v>1e-8</x:v>
      </x:c>
      <x:c r="C7" s="1" t="str">
        <x:v>Apenas arredondamento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1" customHeight="1">
      <x:c r="A8" s="1" t="str">
        <x:v>Meses de histórico</x:v>
      </x:c>
      <x:c r="B8" s="1" t="n">
        <x:v>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1" customHeight="1">
      <x:c r="A9" s="1" t="str">
        <x:v>Revisor (preencher)</x:v>
      </x:c>
      <x:c r="B9" s="12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1" customHeight="1">
      <x:c r="A10" s="1" t="str">
        <x:v>Data da revisão (preencher)</x:v>
      </x:c>
      <x:c r="B10" s="12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1" t="str">
        <x:v>Conferências coincidentes</x:v>
      </x:c>
      <x:c r="B12" s="1" t="n">
        <x:f>COUNTIF(Comparacao!F5:F267,"COINCIDE")</x:f>
        <x:v>263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1" t="str">
        <x:v>Campos comparados</x:v>
      </x:c>
      <x:c r="B13" s="1" t="n">
        <x:v>263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1" t="str">
        <x:v>Situação da comparação</x:v>
      </x:c>
      <x:c r="B14" s="1" t="str">
        <x:f>IF(COUNTIF(Comparacao!F5:F267,"PENDENTE")&gt;0,"PENDENTE",IF(COUNTIF(Comparacao!F5:F267,"DIVERGE")&gt;0,"HÁ DIVERGÊNCIA","COINCIDIU; REVISAR"))</x:f>
        <x:v>COINCIDIU; REVISAR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6" customHeight="1">
      <x:c r="A17" s="7" t="str">
        <x:v>Unidade</x:v>
      </x:c>
      <x:c r="B17" s="7" t="str">
        <x:v>Medicamento</x:v>
      </x:c>
      <x:c r="C17" s="7" t="str">
        <x:v>Estoque</x:v>
      </x:c>
      <x:c r="D17" s="7" t="str">
        <x:v>CMM</x:v>
      </x:c>
      <x:c r="E17" s="7" t="str">
        <x:v>Situação</x:v>
      </x:c>
      <x:c r="F17" s="7" t="str">
        <x:v>Critério da seleção</x:v>
      </x:c>
      <x:c r="G17" s="1"/>
      <x:c r="H17" s="1"/>
      <x:c r="I17" s="1"/>
      <x:c r="J17" s="1"/>
      <x:c r="K17" s="1"/>
      <x:c r="L17" s="1"/>
      <x:c r="M17" s="1"/>
      <x:c r="N17" s="1"/>
    </x:row>
    <x:row r="18" ht="44" customHeight="1">
      <x:c r="A18" s="1" t="n">
        <x:v>3</x:v>
      </x:c>
      <x:c r="B18" s="1" t="n">
        <x:v>5</x:v>
      </x:c>
      <x:c r="C18" s="1" t="n">
        <x:f>SUMIFS(Estoque!$D$5:$D$23,Estoque!$B$5:$B$23,A18,Estoque!$C$5:$C$23,B18)</x:f>
        <x:v>2610</x:v>
      </x:c>
      <x:c r="D18" s="11" t="n">
        <x:f>Historico!K11</x:f>
        <x:v>11.833333333333334</x:v>
      </x:c>
      <x:c r="E18" s="13" t="str">
        <x:f>IF(C18=0,IF(D18=0,"SEM_ESTOQUE_SEM_CONSUMO","INDISPONIVEL_COM_CONSUMO"),IF(D18=0,"ESTOQUE_SEM_CONSUMO","COM_ESTOQUE_E_CONSUMO"))</x:f>
        <x:v>COM_ESTOQUE_E_CONSUMO</x:v>
      </x:c>
      <x:c r="F18" s="13" t="str">
        <x:v>Maior número de lotes; desempate pelos IDs</x:v>
      </x:c>
      <x:c r="G18" s="1"/>
      <x:c r="H18" s="1"/>
      <x:c r="I18" s="1"/>
      <x:c r="J18" s="1"/>
      <x:c r="K18" s="1"/>
      <x:c r="L18" s="1"/>
      <x:c r="M18" s="1"/>
      <x:c r="N18" s="1"/>
    </x:row>
    <x:row r="19" ht="44" customHeight="1">
      <x:c r="A19" s="1" t="n">
        <x:v>12</x:v>
      </x:c>
      <x:c r="B19" s="1" t="n">
        <x:v>111</x:v>
      </x:c>
      <x:c r="C19" s="1" t="n">
        <x:f>SUMIFS(Estoque!$D$5:$D$23,Estoque!$B$5:$B$23,A19,Estoque!$C$5:$C$23,B19)</x:f>
        <x:v>5</x:v>
      </x:c>
      <x:c r="D19" s="11" t="n">
        <x:f>Historico!K22</x:f>
        <x:v>102</x:v>
      </x:c>
      <x:c r="E19" s="13" t="str">
        <x:f>IF(C19=0,IF(D19=0,"SEM_ESTOQUE_SEM_CONSUMO","INDISPONIVEL_COM_CONSUMO"),IF(D19=0,"ESTOQUE_SEM_CONSUMO","COM_ESTOQUE_E_CONSUMO"))</x:f>
        <x:v>COM_ESTOQUE_E_CONSUMO</x:v>
      </x:c>
      <x:c r="F19" s="13" t="str">
        <x:v>Menor validade; desempate pelos IDs</x:v>
      </x:c>
      <x:c r="G19" s="1"/>
      <x:c r="H19" s="1"/>
      <x:c r="I19" s="1"/>
      <x:c r="J19" s="1"/>
      <x:c r="K19" s="1"/>
      <x:c r="L19" s="1"/>
      <x:c r="M19" s="1"/>
      <x:c r="N19" s="1"/>
    </x:row>
    <x:row r="20" ht="44" customHeight="1">
      <x:c r="A20" s="1" t="n">
        <x:v>1</x:v>
      </x:c>
      <x:c r="B20" s="1" t="n">
        <x:v>97</x:v>
      </x:c>
      <x:c r="C20" s="1" t="n">
        <x:f>SUMIFS(Estoque!$D$5:$D$23,Estoque!$B$5:$B$23,A20,Estoque!$C$5:$C$23,B20)</x:f>
        <x:v>10</x:v>
      </x:c>
      <x:c r="D20" s="11" t="n">
        <x:f>Historico!K9</x:f>
        <x:v>40.333333333333336</x:v>
      </x:c>
      <x:c r="E20" s="13" t="str">
        <x:f>IF(C20=0,IF(D20=0,"SEM_ESTOQUE_SEM_CONSUMO","INDISPONIVEL_COM_CONSUMO"),IF(D20=0,"ESTOQUE_SEM_CONSUMO","COM_ESTOQUE_E_CONSUMO"))</x:f>
        <x:v>COM_ESTOQUE_E_CONSUMO</x:v>
      </x:c>
      <x:c r="F20" s="13" t="str">
        <x:v>Primeiro grupo com empate de validade</x:v>
      </x:c>
      <x:c r="G20" s="1"/>
      <x:c r="H20" s="1"/>
      <x:c r="I20" s="1"/>
      <x:c r="J20" s="1"/>
      <x:c r="K20" s="1"/>
      <x:c r="L20" s="1"/>
      <x:c r="M20" s="1"/>
      <x:c r="N20" s="1"/>
    </x:row>
    <x:row r="21" ht="44" customHeight="1">
      <x:c r="A21" s="1" t="n">
        <x:v>1</x:v>
      </x:c>
      <x:c r="B21" s="1" t="n">
        <x:v>6</x:v>
      </x:c>
      <x:c r="C21" s="1" t="n">
        <x:f>SUMIFS(Estoque!$D$5:$D$23,Estoque!$B$5:$B$23,A21,Estoque!$C$5:$C$23,B21)</x:f>
        <x:v>4920</x:v>
      </x:c>
      <x:c r="D21" s="11" t="n">
        <x:f>Historico!K6</x:f>
        <x:v>0</x:v>
      </x:c>
      <x:c r="E21" s="13" t="str">
        <x:f>IF(C21=0,IF(D21=0,"SEM_ESTOQUE_SEM_CONSUMO","INDISPONIVEL_COM_CONSUMO"),IF(D21=0,"ESTOQUE_SEM_CONSUMO","COM_ESTOQUE_E_CONSUMO"))</x:f>
        <x:v>ESTOQUE_SEM_CONSUMO</x:v>
      </x:c>
      <x:c r="F21" s="13" t="str">
        <x:v>Primeiro grupo com estoque e consumo zero</x:v>
      </x:c>
      <x:c r="G21" s="1"/>
      <x:c r="H21" s="1"/>
      <x:c r="I21" s="1"/>
      <x:c r="J21" s="1"/>
      <x:c r="K21" s="1"/>
      <x:c r="L21" s="1"/>
      <x:c r="M21" s="1"/>
      <x:c r="N21" s="1"/>
    </x:row>
    <x:row r="22" ht="44" customHeight="1">
      <x:c r="A22" s="1" t="n">
        <x:v>1</x:v>
      </x:c>
      <x:c r="B22" s="1" t="n">
        <x:v>8</x:v>
      </x:c>
      <x:c r="C22" s="1" t="n">
        <x:f>SUMIFS(Estoque!$D$5:$D$23,Estoque!$B$5:$B$23,A22,Estoque!$C$5:$C$23,B22)</x:f>
        <x:v>0</x:v>
      </x:c>
      <x:c r="D22" s="11" t="n">
        <x:f>Historico!K7</x:f>
        <x:v>104.16666666666667</x:v>
      </x:c>
      <x:c r="E22" s="13" t="str">
        <x:f>IF(C22=0,IF(D22=0,"SEM_ESTOQUE_SEM_CONSUMO","INDISPONIVEL_COM_CONSUMO"),IF(D22=0,"ESTOQUE_SEM_CONSUMO","COM_ESTOQUE_E_CONSUMO"))</x:f>
        <x:v>INDISPONIVEL_COM_CONSUMO</x:v>
      </x:c>
      <x:c r="F22" s="13" t="str">
        <x:v>Primeiro grupo sem estoque e com consumo</x:v>
      </x:c>
      <x:c r="G22" s="1"/>
      <x:c r="H22" s="1"/>
      <x:c r="I22" s="1"/>
      <x:c r="J22" s="1"/>
      <x:c r="K22" s="1"/>
      <x:c r="L22" s="1"/>
      <x:c r="M22" s="1"/>
      <x:c r="N22" s="1"/>
    </x:row>
    <x:row r="23" ht="44" customHeight="1">
      <x:c r="A23" s="1" t="n">
        <x:v>1</x:v>
      </x:c>
      <x:c r="B23" s="1" t="n">
        <x:v>5</x:v>
      </x:c>
      <x:c r="C23" s="1" t="n">
        <x:f>SUMIFS(Estoque!$D$5:$D$23,Estoque!$B$5:$B$23,A23,Estoque!$C$5:$C$23,B23)</x:f>
        <x:v>0</x:v>
      </x:c>
      <x:c r="D23" s="11" t="n">
        <x:f>Historico!K5</x:f>
        <x:v>0</x:v>
      </x:c>
      <x:c r="E23" s="13" t="str">
        <x:f>IF(C23=0,IF(D23=0,"SEM_ESTOQUE_SEM_CONSUMO","INDISPONIVEL_COM_CONSUMO"),IF(D23=0,"ESTOQUE_SEM_CONSUMO","COM_ESTOQUE_E_CONSUMO"))</x:f>
        <x:v>SEM_ESTOQUE_SEM_CONSUMO</x:v>
      </x:c>
      <x:c r="F23" s="13" t="str">
        <x:v>Primeiro grupo sem estoque e sem consumo</x:v>
      </x:c>
      <x:c r="G23" s="1"/>
      <x:c r="H23" s="1"/>
      <x:c r="I23" s="1"/>
      <x:c r="J23" s="1"/>
      <x:c r="K23" s="1"/>
      <x:c r="L23" s="1"/>
      <x:c r="M23" s="1"/>
      <x:c r="N23" s="1"/>
    </x:row>
    <x:row r="24" ht="44" customHeight="1">
      <x:c r="A24" s="1" t="n">
        <x:v>11</x:v>
      </x:c>
      <x:c r="B24" s="1" t="n">
        <x:v>66</x:v>
      </x:c>
      <x:c r="C24" s="1" t="n">
        <x:f>SUMIFS(Estoque!$D$5:$D$23,Estoque!$B$5:$B$23,A24,Estoque!$C$5:$C$23,B24)</x:f>
        <x:v>14</x:v>
      </x:c>
      <x:c r="D24" s="11" t="n">
        <x:f>Historico!K20</x:f>
        <x:v>0</x:v>
      </x:c>
      <x:c r="E24" s="13" t="str">
        <x:f>IF(C24=0,IF(D24=0,"SEM_ESTOQUE_SEM_CONSUMO","INDISPONIVEL_COM_CONSUMO"),IF(D24=0,"ESTOQUE_SEM_CONSUMO","COM_ESTOQUE_E_CONSUMO"))</x:f>
        <x:v>ESTOQUE_SEM_CONSUMO</x:v>
      </x:c>
      <x:c r="F24" s="13" t="str">
        <x:v>Grupo com estoque do medicamento escolhido para o plano completo</x:v>
      </x:c>
      <x:c r="G24" s="1"/>
      <x:c r="H24" s="1"/>
      <x:c r="I24" s="1"/>
      <x:c r="J24" s="1"/>
      <x:c r="K24" s="1"/>
      <x:c r="L24" s="1"/>
      <x:c r="M24" s="1"/>
      <x:c r="N24" s="1"/>
    </x:row>
    <x:row r="25" ht="44" customHeight="1">
      <x:c r="A25" s="1" t="n">
        <x:v>7</x:v>
      </x:c>
      <x:c r="B25" s="1" t="n">
        <x:v>66</x:v>
      </x:c>
      <x:c r="C25" s="1" t="n">
        <x:f>SUMIFS(Estoque!$D$5:$D$23,Estoque!$B$5:$B$23,A25,Estoque!$C$5:$C$23,B25)</x:f>
        <x:v>250</x:v>
      </x:c>
      <x:c r="D25" s="11" t="n">
        <x:f>Historico!K16</x:f>
        <x:v>38.333333333333336</x:v>
      </x:c>
      <x:c r="E25" s="13" t="str">
        <x:f>IF(C25=0,IF(D25=0,"SEM_ESTOQUE_SEM_CONSUMO","INDISPONIVEL_COM_CONSUMO"),IF(D25=0,"ESTOQUE_SEM_CONSUMO","COM_ESTOQUE_E_CONSUMO"))</x:f>
        <x:v>COM_ESTOQUE_E_CONSUMO</x:v>
      </x:c>
      <x:c r="F25" s="13" t="str">
        <x:v>Grupo com estoque do medicamento escolhido para o plano completo</x:v>
      </x:c>
      <x:c r="G25" s="1"/>
      <x:c r="H25" s="1"/>
      <x:c r="I25" s="1"/>
      <x:c r="J25" s="1"/>
      <x:c r="K25" s="1"/>
      <x:c r="L25" s="1"/>
      <x:c r="M25" s="1"/>
      <x:c r="N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A28" s="4" t="str">
        <x:v>Amostra intencional: 8 combinações, 19 lotes, 16 destinos iniciais e plano completo do medicamento 66.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 ht="24" customHeight="1">
      <x:c r="A29" s="4" t="str">
        <x:v>Escolha registrada antes desta comparação. O assistente já conhecia o notebook; não é avaliação cega.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 ht="24" customHeight="1">
      <x:c r="A30" s="4" t="str">
        <x:v>Não é revisão humana independente. Conferir fórmulas, registrar revisor/data e repetir com saídas do Colab.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 ht="24" customHeight="1">
      <x:c r="A31" s="4" t="str">
        <x:v>Planilha preparada para esta amostra fixa. Uma nova entrada exige nova seleção e nova conferência.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 ht="24" customHeight="1">
      <x:c r="A32" s="4" t="str">
        <x:v>IDs de lote de origem, unidade e medicamento: exatos. Ordem do plano: relativa ao medicamento selecionado.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 ht="24" customHeight="1">
      <x:c r="A33" s="4" t="str">
        <x:v>IDs globais dos recebimentos e números globais de movimento não integram esta conferência por medicamento.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 ht="24" customHeight="1">
      <x:c r="A34" s="4" t="str">
        <x:v>Os CSVs completos e seus SHA-256 estão no pacote. A amostra não tem representatividade estatística.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Lotes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PVPS por unidade e medicamento: validade crescente; empate pelo ID. Capacidade não se repete entre lotes.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Lote</x:v>
      </x:c>
      <x:c r="B4" s="7" t="str">
        <x:v>Unidade</x:v>
      </x:c>
      <x:c r="C4" s="7" t="str">
        <x:v>Medicamento</x:v>
      </x:c>
      <x:c r="D4" s="7" t="str">
        <x:v>Quantidade</x:v>
      </x:c>
      <x:c r="E4" s="7" t="str">
        <x:v>Validade</x:v>
      </x:c>
      <x:c r="F4" s="7" t="str">
        <x:v>Dias úteis</x:v>
      </x:c>
      <x:c r="G4" s="7" t="str">
        <x:v>CMM</x:v>
      </x:c>
      <x:c r="H4" s="7" t="str">
        <x:v>Capacidade acumulada</x:v>
      </x:c>
      <x:c r="I4" s="7" t="str">
        <x:v>Uso anterior</x:v>
      </x:c>
      <x:c r="J4" s="7" t="str">
        <x:v>Consumível</x:v>
      </x:c>
      <x:c r="K4" s="7" t="str">
        <x:v>Risco</x:v>
      </x:c>
      <x:c r="L4" s="1"/>
      <x:c r="M4" s="1"/>
      <x:c r="N4" s="1"/>
    </x:row>
    <x:row r="5" ht="21" customHeight="1">
      <x:c r="A5" s="1" t="n">
        <x:f>Estoque!A5</x:f>
        <x:v>15</x:v>
      </x:c>
      <x:c r="B5" s="1" t="n">
        <x:f>Estoque!B5</x:f>
        <x:v>1</x:v>
      </x:c>
      <x:c r="C5" s="1" t="n">
        <x:f>Estoque!C5</x:f>
        <x:v>6</x:v>
      </x:c>
      <x:c r="D5" s="1" t="n">
        <x:f>Estoque!D5</x:f>
        <x:v>1480</x:v>
      </x:c>
      <x:c r="E5" s="8" t="n">
        <x:f>Estoque!E5</x:f>
        <x:v>46554</x:v>
      </x:c>
      <x:c r="F5" s="1" t="n">
        <x:f>MAX(0,E5-Conferencia!$B$5)</x:f>
        <x:v>372</x:v>
      </x:c>
      <x:c r="G5" s="11" t="n">
        <x:f>Historico!K6</x:f>
        <x:v>0</x:v>
      </x:c>
      <x:c r="H5" s="11" t="n">
        <x:f>G5*F5/Conferencia!$B$6</x:f>
        <x:v>0</x:v>
      </x:c>
      <x:c r="I5" s="11" t="n">
        <x:f>0</x:f>
        <x:v>0</x:v>
      </x:c>
      <x:c r="J5" s="11" t="n">
        <x:f>MIN(D5,MAX(0,H5-I5))</x:f>
        <x:v>0</x:v>
      </x:c>
      <x:c r="K5" s="11" t="n">
        <x:f>D5-J5</x:f>
        <x:v>1480</x:v>
      </x:c>
      <x:c r="L5" s="1"/>
      <x:c r="M5" s="1"/>
      <x:c r="N5" s="1"/>
    </x:row>
    <x:row r="6" ht="21" customHeight="1">
      <x:c r="A6" s="1" t="n">
        <x:f>Estoque!A6</x:f>
        <x:v>14</x:v>
      </x:c>
      <x:c r="B6" s="1" t="n">
        <x:f>Estoque!B6</x:f>
        <x:v>1</x:v>
      </x:c>
      <x:c r="C6" s="1" t="n">
        <x:f>Estoque!C6</x:f>
        <x:v>6</x:v>
      </x:c>
      <x:c r="D6" s="1" t="n">
        <x:f>Estoque!D6</x:f>
        <x:v>3440</x:v>
      </x:c>
      <x:c r="E6" s="8" t="n">
        <x:f>Estoque!E6</x:f>
        <x:v>46597</x:v>
      </x:c>
      <x:c r="F6" s="1" t="n">
        <x:f>MAX(0,E6-Conferencia!$B$5)</x:f>
        <x:v>415</x:v>
      </x:c>
      <x:c r="G6" s="11" t="n">
        <x:f>Historico!K6</x:f>
        <x:v>0</x:v>
      </x:c>
      <x:c r="H6" s="11" t="n">
        <x:f>G6*F6/Conferencia!$B$6</x:f>
        <x:v>0</x:v>
      </x:c>
      <x:c r="I6" s="11" t="n">
        <x:f>SUM(J5:J5)</x:f>
        <x:v>0</x:v>
      </x:c>
      <x:c r="J6" s="11" t="n">
        <x:f>MIN(D6,MAX(0,H6-I6))</x:f>
        <x:v>0</x:v>
      </x:c>
      <x:c r="K6" s="11" t="n">
        <x:f>D6-J6</x:f>
        <x:v>3440</x:v>
      </x:c>
      <x:c r="L6" s="1"/>
      <x:c r="M6" s="1"/>
      <x:c r="N6" s="1"/>
    </x:row>
    <x:row r="7" ht="21" customHeight="1">
      <x:c r="A7" s="1" t="n">
        <x:f>Estoque!A7</x:f>
        <x:v>108</x:v>
      </x:c>
      <x:c r="B7" s="1" t="n">
        <x:f>Estoque!B7</x:f>
        <x:v>1</x:v>
      </x:c>
      <x:c r="C7" s="1" t="n">
        <x:f>Estoque!C7</x:f>
        <x:v>97</x:v>
      </x:c>
      <x:c r="D7" s="1" t="n">
        <x:f>Estoque!D7</x:f>
        <x:v>2</x:v>
      </x:c>
      <x:c r="E7" s="8" t="n">
        <x:f>Estoque!E7</x:f>
        <x:v>46253</x:v>
      </x:c>
      <x:c r="F7" s="1" t="n">
        <x:f>MAX(0,E7-Conferencia!$B$5)</x:f>
        <x:v>71</x:v>
      </x:c>
      <x:c r="G7" s="11" t="n">
        <x:f>Historico!K9</x:f>
        <x:v>40.333333333333336</x:v>
      </x:c>
      <x:c r="H7" s="11" t="n">
        <x:f>G7*F7/Conferencia!$B$6</x:f>
        <x:v>95.45555555555556</x:v>
      </x:c>
      <x:c r="I7" s="11" t="n">
        <x:f>0</x:f>
        <x:v>0</x:v>
      </x:c>
      <x:c r="J7" s="11" t="n">
        <x:f>MIN(D7,MAX(0,H7-I7))</x:f>
        <x:v>2</x:v>
      </x:c>
      <x:c r="K7" s="11" t="n">
        <x:f>D7-J7</x:f>
        <x:v>0</x:v>
      </x:c>
      <x:c r="L7" s="1"/>
      <x:c r="M7" s="1"/>
      <x:c r="N7" s="1"/>
    </x:row>
    <x:row r="8" ht="21" customHeight="1">
      <x:c r="A8" s="1" t="n">
        <x:f>Estoque!A8</x:f>
        <x:v>109</x:v>
      </x:c>
      <x:c r="B8" s="1" t="n">
        <x:f>Estoque!B8</x:f>
        <x:v>1</x:v>
      </x:c>
      <x:c r="C8" s="1" t="n">
        <x:f>Estoque!C8</x:f>
        <x:v>97</x:v>
      </x:c>
      <x:c r="D8" s="1" t="n">
        <x:f>Estoque!D8</x:f>
        <x:v>4</x:v>
      </x:c>
      <x:c r="E8" s="8" t="n">
        <x:f>Estoque!E8</x:f>
        <x:v>46500</x:v>
      </x:c>
      <x:c r="F8" s="1" t="n">
        <x:f>MAX(0,E8-Conferencia!$B$5)</x:f>
        <x:v>318</x:v>
      </x:c>
      <x:c r="G8" s="11" t="n">
        <x:f>Historico!K9</x:f>
        <x:v>40.333333333333336</x:v>
      </x:c>
      <x:c r="H8" s="11" t="n">
        <x:f>G8*F8/Conferencia!$B$6</x:f>
        <x:v>427.53333333333336</x:v>
      </x:c>
      <x:c r="I8" s="11" t="n">
        <x:f>SUM(J7:J7)</x:f>
        <x:v>2</x:v>
      </x:c>
      <x:c r="J8" s="11" t="n">
        <x:f>MIN(D8,MAX(0,H8-I8))</x:f>
        <x:v>4</x:v>
      </x:c>
      <x:c r="K8" s="11" t="n">
        <x:f>D8-J8</x:f>
        <x:v>0</x:v>
      </x:c>
      <x:c r="L8" s="1"/>
      <x:c r="M8" s="1"/>
      <x:c r="N8" s="1"/>
    </x:row>
    <x:row r="9" ht="21" customHeight="1">
      <x:c r="A9" s="1" t="n">
        <x:f>Estoque!A9</x:f>
        <x:v>110</x:v>
      </x:c>
      <x:c r="B9" s="1" t="n">
        <x:f>Estoque!B9</x:f>
        <x:v>1</x:v>
      </x:c>
      <x:c r="C9" s="1" t="n">
        <x:f>Estoque!C9</x:f>
        <x:v>97</x:v>
      </x:c>
      <x:c r="D9" s="1" t="n">
        <x:f>Estoque!D9</x:f>
        <x:v>4</x:v>
      </x:c>
      <x:c r="E9" s="8" t="n">
        <x:f>Estoque!E9</x:f>
        <x:v>46500</x:v>
      </x:c>
      <x:c r="F9" s="1" t="n">
        <x:f>MAX(0,E9-Conferencia!$B$5)</x:f>
        <x:v>318</x:v>
      </x:c>
      <x:c r="G9" s="11" t="n">
        <x:f>Historico!K9</x:f>
        <x:v>40.333333333333336</x:v>
      </x:c>
      <x:c r="H9" s="11" t="n">
        <x:f>G9*F9/Conferencia!$B$6</x:f>
        <x:v>427.53333333333336</x:v>
      </x:c>
      <x:c r="I9" s="11" t="n">
        <x:f>SUM(J7:J8)</x:f>
        <x:v>6</x:v>
      </x:c>
      <x:c r="J9" s="11" t="n">
        <x:f>MIN(D9,MAX(0,H9-I9))</x:f>
        <x:v>4</x:v>
      </x:c>
      <x:c r="K9" s="11" t="n">
        <x:f>D9-J9</x:f>
        <x:v>0</x:v>
      </x:c>
      <x:c r="L9" s="1"/>
      <x:c r="M9" s="1"/>
      <x:c r="N9" s="1"/>
    </x:row>
    <x:row r="10" ht="21" customHeight="1">
      <x:c r="A10" s="1" t="n">
        <x:f>Estoque!A10</x:f>
        <x:v>330</x:v>
      </x:c>
      <x:c r="B10" s="1" t="n">
        <x:f>Estoque!B10</x:f>
        <x:v>3</x:v>
      </x:c>
      <x:c r="C10" s="1" t="n">
        <x:f>Estoque!C10</x:f>
        <x:v>5</x:v>
      </x:c>
      <x:c r="D10" s="1" t="n">
        <x:f>Estoque!D10</x:f>
        <x:v>240</x:v>
      </x:c>
      <x:c r="E10" s="8" t="n">
        <x:f>Estoque!E10</x:f>
        <x:v>46286</x:v>
      </x:c>
      <x:c r="F10" s="1" t="n">
        <x:f>MAX(0,E10-Conferencia!$B$5)</x:f>
        <x:v>104</x:v>
      </x:c>
      <x:c r="G10" s="11" t="n">
        <x:f>Historico!K11</x:f>
        <x:v>11.833333333333334</x:v>
      </x:c>
      <x:c r="H10" s="11" t="n">
        <x:f>G10*F10/Conferencia!$B$6</x:f>
        <x:v>41.022222222222226</x:v>
      </x:c>
      <x:c r="I10" s="11" t="n">
        <x:f>0</x:f>
        <x:v>0</x:v>
      </x:c>
      <x:c r="J10" s="11" t="n">
        <x:f>MIN(D10,MAX(0,H10-I10))</x:f>
        <x:v>41.022222222222226</x:v>
      </x:c>
      <x:c r="K10" s="11" t="n">
        <x:f>D10-J10</x:f>
        <x:v>198.97777777777776</x:v>
      </x:c>
      <x:c r="L10" s="1"/>
      <x:c r="M10" s="1"/>
      <x:c r="N10" s="1"/>
    </x:row>
    <x:row r="11" ht="21" customHeight="1">
      <x:c r="A11" s="1" t="n">
        <x:f>Estoque!A11</x:f>
        <x:v>332</x:v>
      </x:c>
      <x:c r="B11" s="1" t="n">
        <x:f>Estoque!B11</x:f>
        <x:v>3</x:v>
      </x:c>
      <x:c r="C11" s="1" t="n">
        <x:f>Estoque!C11</x:f>
        <x:v>5</x:v>
      </x:c>
      <x:c r="D11" s="1" t="n">
        <x:f>Estoque!D11</x:f>
        <x:v>540</x:v>
      </x:c>
      <x:c r="E11" s="8" t="n">
        <x:f>Estoque!E11</x:f>
        <x:v>46300</x:v>
      </x:c>
      <x:c r="F11" s="1" t="n">
        <x:f>MAX(0,E11-Conferencia!$B$5)</x:f>
        <x:v>118</x:v>
      </x:c>
      <x:c r="G11" s="11" t="n">
        <x:f>Historico!K11</x:f>
        <x:v>11.833333333333334</x:v>
      </x:c>
      <x:c r="H11" s="11" t="n">
        <x:f>G11*F11/Conferencia!$B$6</x:f>
        <x:v>46.54444444444445</x:v>
      </x:c>
      <x:c r="I11" s="11" t="n">
        <x:f>SUM(J10:J10)</x:f>
        <x:v>41.022222222222226</x:v>
      </x:c>
      <x:c r="J11" s="11" t="n">
        <x:f>MIN(D11,MAX(0,H11-I11))</x:f>
        <x:v>5.522222222222226</x:v>
      </x:c>
      <x:c r="K11" s="11" t="n">
        <x:f>D11-J11</x:f>
        <x:v>534.4777777777778</x:v>
      </x:c>
      <x:c r="L11" s="1"/>
      <x:c r="M11" s="1"/>
      <x:c r="N11" s="1"/>
    </x:row>
    <x:row r="12" ht="21" customHeight="1">
      <x:c r="A12" s="1" t="n">
        <x:f>Estoque!A12</x:f>
        <x:v>331</x:v>
      </x:c>
      <x:c r="B12" s="1" t="n">
        <x:f>Estoque!B12</x:f>
        <x:v>3</x:v>
      </x:c>
      <x:c r="C12" s="1" t="n">
        <x:f>Estoque!C12</x:f>
        <x:v>5</x:v>
      </x:c>
      <x:c r="D12" s="1" t="n">
        <x:f>Estoque!D12</x:f>
        <x:v>120</x:v>
      </x:c>
      <x:c r="E12" s="8" t="n">
        <x:f>Estoque!E12</x:f>
        <x:v>46478</x:v>
      </x:c>
      <x:c r="F12" s="1" t="n">
        <x:f>MAX(0,E12-Conferencia!$B$5)</x:f>
        <x:v>296</x:v>
      </x:c>
      <x:c r="G12" s="11" t="n">
        <x:f>Historico!K11</x:f>
        <x:v>11.833333333333334</x:v>
      </x:c>
      <x:c r="H12" s="11" t="n">
        <x:f>G12*F12/Conferencia!$B$6</x:f>
        <x:v>116.75555555555556</x:v>
      </x:c>
      <x:c r="I12" s="11" t="n">
        <x:f>SUM(J10:J11)</x:f>
        <x:v>46.54444444444445</x:v>
      </x:c>
      <x:c r="J12" s="11" t="n">
        <x:f>MIN(D12,MAX(0,H12-I12))</x:f>
        <x:v>70.21111111111111</x:v>
      </x:c>
      <x:c r="K12" s="11" t="n">
        <x:f>D12-J12</x:f>
        <x:v>49.78888888888889</x:v>
      </x:c>
      <x:c r="L12" s="1"/>
      <x:c r="M12" s="1"/>
      <x:c r="N12" s="1"/>
    </x:row>
    <x:row r="13" ht="21" customHeight="1">
      <x:c r="A13" s="1" t="n">
        <x:f>Estoque!A13</x:f>
        <x:v>333</x:v>
      </x:c>
      <x:c r="B13" s="1" t="n">
        <x:f>Estoque!B13</x:f>
        <x:v>3</x:v>
      </x:c>
      <x:c r="C13" s="1" t="n">
        <x:f>Estoque!C13</x:f>
        <x:v>5</x:v>
      </x:c>
      <x:c r="D13" s="1" t="n">
        <x:f>Estoque!D13</x:f>
        <x:v>360</x:v>
      </x:c>
      <x:c r="E13" s="8" t="n">
        <x:f>Estoque!E13</x:f>
        <x:v>46514</x:v>
      </x:c>
      <x:c r="F13" s="1" t="n">
        <x:f>MAX(0,E13-Conferencia!$B$5)</x:f>
        <x:v>332</x:v>
      </x:c>
      <x:c r="G13" s="11" t="n">
        <x:f>Historico!K11</x:f>
        <x:v>11.833333333333334</x:v>
      </x:c>
      <x:c r="H13" s="11" t="n">
        <x:f>G13*F13/Conferencia!$B$6</x:f>
        <x:v>130.95555555555558</x:v>
      </x:c>
      <x:c r="I13" s="11" t="n">
        <x:f>SUM(J10:J12)</x:f>
        <x:v>116.75555555555556</x:v>
      </x:c>
      <x:c r="J13" s="11" t="n">
        <x:f>MIN(D13,MAX(0,H13-I13))</x:f>
        <x:v>14.200000000000017</x:v>
      </x:c>
      <x:c r="K13" s="11" t="n">
        <x:f>D13-J13</x:f>
        <x:v>345.79999999999995</x:v>
      </x:c>
      <x:c r="L13" s="1"/>
      <x:c r="M13" s="1"/>
      <x:c r="N13" s="1"/>
    </x:row>
    <x:row r="14" ht="21" customHeight="1">
      <x:c r="A14" s="1" t="n">
        <x:f>Estoque!A14</x:f>
        <x:v>328</x:v>
      </x:c>
      <x:c r="B14" s="1" t="n">
        <x:f>Estoque!B14</x:f>
        <x:v>3</x:v>
      </x:c>
      <x:c r="C14" s="1" t="n">
        <x:f>Estoque!C14</x:f>
        <x:v>5</x:v>
      </x:c>
      <x:c r="D14" s="1" t="n">
        <x:f>Estoque!D14</x:f>
        <x:v>30</x:v>
      </x:c>
      <x:c r="E14" s="8" t="n">
        <x:f>Estoque!E14</x:f>
        <x:v>46528</x:v>
      </x:c>
      <x:c r="F14" s="1" t="n">
        <x:f>MAX(0,E14-Conferencia!$B$5)</x:f>
        <x:v>346</x:v>
      </x:c>
      <x:c r="G14" s="11" t="n">
        <x:f>Historico!K11</x:f>
        <x:v>11.833333333333334</x:v>
      </x:c>
      <x:c r="H14" s="11" t="n">
        <x:f>G14*F14/Conferencia!$B$6</x:f>
        <x:v>136.4777777777778</x:v>
      </x:c>
      <x:c r="I14" s="11" t="n">
        <x:f>SUM(J10:J13)</x:f>
        <x:v>130.95555555555558</x:v>
      </x:c>
      <x:c r="J14" s="11" t="n">
        <x:f>MIN(D14,MAX(0,H14-I14))</x:f>
        <x:v>5.5222222222222115</x:v>
      </x:c>
      <x:c r="K14" s="11" t="n">
        <x:f>D14-J14</x:f>
        <x:v>24.47777777777779</x:v>
      </x:c>
      <x:c r="L14" s="1"/>
      <x:c r="M14" s="1"/>
      <x:c r="N14" s="1"/>
    </x:row>
    <x:row r="15" ht="21" customHeight="1">
      <x:c r="A15" s="1" t="n">
        <x:f>Estoque!A15</x:f>
        <x:v>334</x:v>
      </x:c>
      <x:c r="B15" s="1" t="n">
        <x:f>Estoque!B15</x:f>
        <x:v>3</x:v>
      </x:c>
      <x:c r="C15" s="1" t="n">
        <x:f>Estoque!C15</x:f>
        <x:v>5</x:v>
      </x:c>
      <x:c r="D15" s="1" t="n">
        <x:f>Estoque!D15</x:f>
        <x:v>720</x:v>
      </x:c>
      <x:c r="E15" s="8" t="n">
        <x:f>Estoque!E15</x:f>
        <x:v>46535</x:v>
      </x:c>
      <x:c r="F15" s="1" t="n">
        <x:f>MAX(0,E15-Conferencia!$B$5)</x:f>
        <x:v>353</x:v>
      </x:c>
      <x:c r="G15" s="11" t="n">
        <x:f>Historico!K11</x:f>
        <x:v>11.833333333333334</x:v>
      </x:c>
      <x:c r="H15" s="11" t="n">
        <x:f>G15*F15/Conferencia!$B$6</x:f>
        <x:v>139.2388888888889</x:v>
      </x:c>
      <x:c r="I15" s="11" t="n">
        <x:f>SUM(J10:J14)</x:f>
        <x:v>136.4777777777778</x:v>
      </x:c>
      <x:c r="J15" s="11" t="n">
        <x:f>MIN(D15,MAX(0,H15-I15))</x:f>
        <x:v>2.76111111111112</x:v>
      </x:c>
      <x:c r="K15" s="11" t="n">
        <x:f>D15-J15</x:f>
        <x:v>717.2388888888888</x:v>
      </x:c>
      <x:c r="L15" s="1"/>
      <x:c r="M15" s="1"/>
      <x:c r="N15" s="1"/>
    </x:row>
    <x:row r="16" ht="21" customHeight="1">
      <x:c r="A16" s="1" t="n">
        <x:f>Estoque!A16</x:f>
        <x:v>329</x:v>
      </x:c>
      <x:c r="B16" s="1" t="n">
        <x:f>Estoque!B16</x:f>
        <x:v>3</x:v>
      </x:c>
      <x:c r="C16" s="1" t="n">
        <x:f>Estoque!C16</x:f>
        <x:v>5</x:v>
      </x:c>
      <x:c r="D16" s="1" t="n">
        <x:f>Estoque!D16</x:f>
        <x:v>240</x:v>
      </x:c>
      <x:c r="E16" s="8" t="n">
        <x:f>Estoque!E16</x:f>
        <x:v>46599</x:v>
      </x:c>
      <x:c r="F16" s="1" t="n">
        <x:f>MAX(0,E16-Conferencia!$B$5)</x:f>
        <x:v>417</x:v>
      </x:c>
      <x:c r="G16" s="11" t="n">
        <x:f>Historico!K11</x:f>
        <x:v>11.833333333333334</x:v>
      </x:c>
      <x:c r="H16" s="11" t="n">
        <x:f>G16*F16/Conferencia!$B$6</x:f>
        <x:v>164.48333333333332</x:v>
      </x:c>
      <x:c r="I16" s="11" t="n">
        <x:f>SUM(J10:J15)</x:f>
        <x:v>139.2388888888889</x:v>
      </x:c>
      <x:c r="J16" s="11" t="n">
        <x:f>MIN(D16,MAX(0,H16-I16))</x:f>
        <x:v>25.24444444444441</x:v>
      </x:c>
      <x:c r="K16" s="11" t="n">
        <x:f>D16-J16</x:f>
        <x:v>214.7555555555556</x:v>
      </x:c>
      <x:c r="L16" s="1"/>
      <x:c r="M16" s="1"/>
      <x:c r="N16" s="1"/>
    </x:row>
    <x:row r="17" ht="21" customHeight="1">
      <x:c r="A17" s="1" t="n">
        <x:f>Estoque!A17</x:f>
        <x:v>335</x:v>
      </x:c>
      <x:c r="B17" s="1" t="n">
        <x:f>Estoque!B17</x:f>
        <x:v>3</x:v>
      </x:c>
      <x:c r="C17" s="1" t="n">
        <x:f>Estoque!C17</x:f>
        <x:v>5</x:v>
      </x:c>
      <x:c r="D17" s="1" t="n">
        <x:f>Estoque!D17</x:f>
        <x:v>360</x:v>
      </x:c>
      <x:c r="E17" s="8" t="n">
        <x:f>Estoque!E17</x:f>
        <x:v>46681</x:v>
      </x:c>
      <x:c r="F17" s="1" t="n">
        <x:f>MAX(0,E17-Conferencia!$B$5)</x:f>
        <x:v>499</x:v>
      </x:c>
      <x:c r="G17" s="11" t="n">
        <x:f>Historico!K11</x:f>
        <x:v>11.833333333333334</x:v>
      </x:c>
      <x:c r="H17" s="11" t="n">
        <x:f>G17*F17/Conferencia!$B$6</x:f>
        <x:v>196.8277777777778</x:v>
      </x:c>
      <x:c r="I17" s="11" t="n">
        <x:f>SUM(J10:J16)</x:f>
        <x:v>164.48333333333332</x:v>
      </x:c>
      <x:c r="J17" s="11" t="n">
        <x:f>MIN(D17,MAX(0,H17-I17))</x:f>
        <x:v>32.34444444444449</x:v>
      </x:c>
      <x:c r="K17" s="11" t="n">
        <x:f>D17-J17</x:f>
        <x:v>327.6555555555555</x:v>
      </x:c>
      <x:c r="L17" s="1"/>
      <x:c r="M17" s="1"/>
      <x:c r="N17" s="1"/>
    </x:row>
    <x:row r="18" ht="21" customHeight="1">
      <x:c r="A18" s="1" t="n">
        <x:f>Estoque!A18</x:f>
        <x:v>1254</x:v>
      </x:c>
      <x:c r="B18" s="1" t="n">
        <x:f>Estoque!B18</x:f>
        <x:v>7</x:v>
      </x:c>
      <x:c r="C18" s="1" t="n">
        <x:f>Estoque!C18</x:f>
        <x:v>66</x:v>
      </x:c>
      <x:c r="D18" s="1" t="n">
        <x:f>Estoque!D18</x:f>
        <x:v>250</x:v>
      </x:c>
      <x:c r="E18" s="8" t="n">
        <x:f>Estoque!E18</x:f>
        <x:v>46621</x:v>
      </x:c>
      <x:c r="F18" s="1" t="n">
        <x:f>MAX(0,E18-Conferencia!$B$5)</x:f>
        <x:v>439</x:v>
      </x:c>
      <x:c r="G18" s="11" t="n">
        <x:f>Historico!K16</x:f>
        <x:v>38.333333333333336</x:v>
      </x:c>
      <x:c r="H18" s="11" t="n">
        <x:f>G18*F18/Conferencia!$B$6</x:f>
        <x:v>560.9444444444446</x:v>
      </x:c>
      <x:c r="I18" s="11" t="n">
        <x:f>0</x:f>
        <x:v>0</x:v>
      </x:c>
      <x:c r="J18" s="11" t="n">
        <x:f>MIN(D18,MAX(0,H18-I18))</x:f>
        <x:v>250</x:v>
      </x:c>
      <x:c r="K18" s="11" t="n">
        <x:f>D18-J18</x:f>
        <x:v>0</x:v>
      </x:c>
      <x:c r="L18" s="1"/>
      <x:c r="M18" s="1"/>
      <x:c r="N18" s="1"/>
    </x:row>
    <x:row r="19" ht="21" customHeight="1">
      <x:c r="A19" s="1" t="n">
        <x:f>Estoque!A19</x:f>
        <x:v>2183</x:v>
      </x:c>
      <x:c r="B19" s="1" t="n">
        <x:f>Estoque!B19</x:f>
        <x:v>11</x:v>
      </x:c>
      <x:c r="C19" s="1" t="n">
        <x:f>Estoque!C19</x:f>
        <x:v>66</x:v>
      </x:c>
      <x:c r="D19" s="1" t="n">
        <x:f>Estoque!D19</x:f>
        <x:v>14</x:v>
      </x:c>
      <x:c r="E19" s="8" t="n">
        <x:f>Estoque!E19</x:f>
        <x:v>46309</x:v>
      </x:c>
      <x:c r="F19" s="1" t="n">
        <x:f>MAX(0,E19-Conferencia!$B$5)</x:f>
        <x:v>127</x:v>
      </x:c>
      <x:c r="G19" s="11" t="n">
        <x:f>Historico!K20</x:f>
        <x:v>0</x:v>
      </x:c>
      <x:c r="H19" s="11" t="n">
        <x:f>G19*F19/Conferencia!$B$6</x:f>
        <x:v>0</x:v>
      </x:c>
      <x:c r="I19" s="11" t="n">
        <x:f>0</x:f>
        <x:v>0</x:v>
      </x:c>
      <x:c r="J19" s="11" t="n">
        <x:f>MIN(D19,MAX(0,H19-I19))</x:f>
        <x:v>0</x:v>
      </x:c>
      <x:c r="K19" s="11" t="n">
        <x:f>D19-J19</x:f>
        <x:v>14</x:v>
      </x:c>
      <x:c r="L19" s="1"/>
      <x:c r="M19" s="1"/>
      <x:c r="N19" s="1"/>
    </x:row>
    <x:row r="20" ht="21" customHeight="1">
      <x:c r="A20" s="1" t="n">
        <x:f>Estoque!A20</x:f>
        <x:v>2642</x:v>
      </x:c>
      <x:c r="B20" s="1" t="n">
        <x:f>Estoque!B20</x:f>
        <x:v>12</x:v>
      </x:c>
      <x:c r="C20" s="1" t="n">
        <x:f>Estoque!C20</x:f>
        <x:v>111</x:v>
      </x:c>
      <x:c r="D20" s="1" t="n">
        <x:f>Estoque!D20</x:f>
        <x:v>1</x:v>
      </x:c>
      <x:c r="E20" s="8" t="n">
        <x:f>Estoque!E20</x:f>
        <x:v>46212</x:v>
      </x:c>
      <x:c r="F20" s="1" t="n">
        <x:f>MAX(0,E20-Conferencia!$B$5)</x:f>
        <x:v>30</x:v>
      </x:c>
      <x:c r="G20" s="11" t="n">
        <x:f>Historico!K22</x:f>
        <x:v>102</x:v>
      </x:c>
      <x:c r="H20" s="11" t="n">
        <x:f>G20*F20/Conferencia!$B$6</x:f>
        <x:v>102</x:v>
      </x:c>
      <x:c r="I20" s="11" t="n">
        <x:f>0</x:f>
        <x:v>0</x:v>
      </x:c>
      <x:c r="J20" s="11" t="n">
        <x:f>MIN(D20,MAX(0,H20-I20))</x:f>
        <x:v>1</x:v>
      </x:c>
      <x:c r="K20" s="11" t="n">
        <x:f>D20-J20</x:f>
        <x:v>0</x:v>
      </x:c>
      <x:c r="L20" s="1"/>
      <x:c r="M20" s="1"/>
      <x:c r="N20" s="1"/>
    </x:row>
    <x:row r="21" ht="21" customHeight="1">
      <x:c r="A21" s="1" t="n">
        <x:f>Estoque!A21</x:f>
        <x:v>2644</x:v>
      </x:c>
      <x:c r="B21" s="1" t="n">
        <x:f>Estoque!B21</x:f>
        <x:v>12</x:v>
      </x:c>
      <x:c r="C21" s="1" t="n">
        <x:f>Estoque!C21</x:f>
        <x:v>111</x:v>
      </x:c>
      <x:c r="D21" s="1" t="n">
        <x:f>Estoque!D21</x:f>
        <x:v>1</x:v>
      </x:c>
      <x:c r="E21" s="8" t="n">
        <x:f>Estoque!E21</x:f>
        <x:v>46536</x:v>
      </x:c>
      <x:c r="F21" s="1" t="n">
        <x:f>MAX(0,E21-Conferencia!$B$5)</x:f>
        <x:v>354</x:v>
      </x:c>
      <x:c r="G21" s="11" t="n">
        <x:f>Historico!K22</x:f>
        <x:v>102</x:v>
      </x:c>
      <x:c r="H21" s="11" t="n">
        <x:f>G21*F21/Conferencia!$B$6</x:f>
        <x:v>1203.6</x:v>
      </x:c>
      <x:c r="I21" s="11" t="n">
        <x:f>SUM(J20:J20)</x:f>
        <x:v>1</x:v>
      </x:c>
      <x:c r="J21" s="11" t="n">
        <x:f>MIN(D21,MAX(0,H21-I21))</x:f>
        <x:v>1</x:v>
      </x:c>
      <x:c r="K21" s="11" t="n">
        <x:f>D21-J21</x:f>
        <x:v>0</x:v>
      </x:c>
      <x:c r="L21" s="1"/>
      <x:c r="M21" s="1"/>
      <x:c r="N21" s="1"/>
    </x:row>
    <x:row r="22" ht="21" customHeight="1">
      <x:c r="A22" s="1" t="n">
        <x:f>Estoque!A22</x:f>
        <x:v>2643</x:v>
      </x:c>
      <x:c r="B22" s="1" t="n">
        <x:f>Estoque!B22</x:f>
        <x:v>12</x:v>
      </x:c>
      <x:c r="C22" s="1" t="n">
        <x:f>Estoque!C22</x:f>
        <x:v>111</x:v>
      </x:c>
      <x:c r="D22" s="1" t="n">
        <x:f>Estoque!D22</x:f>
        <x:v>2</x:v>
      </x:c>
      <x:c r="E22" s="8" t="n">
        <x:f>Estoque!E22</x:f>
        <x:v>46622</x:v>
      </x:c>
      <x:c r="F22" s="1" t="n">
        <x:f>MAX(0,E22-Conferencia!$B$5)</x:f>
        <x:v>440</x:v>
      </x:c>
      <x:c r="G22" s="11" t="n">
        <x:f>Historico!K22</x:f>
        <x:v>102</x:v>
      </x:c>
      <x:c r="H22" s="11" t="n">
        <x:f>G22*F22/Conferencia!$B$6</x:f>
        <x:v>1496</x:v>
      </x:c>
      <x:c r="I22" s="11" t="n">
        <x:f>SUM(J20:J21)</x:f>
        <x:v>2</x:v>
      </x:c>
      <x:c r="J22" s="11" t="n">
        <x:f>MIN(D22,MAX(0,H22-I22))</x:f>
        <x:v>2</x:v>
      </x:c>
      <x:c r="K22" s="11" t="n">
        <x:f>D22-J22</x:f>
        <x:v>0</x:v>
      </x:c>
      <x:c r="L22" s="1"/>
      <x:c r="M22" s="1"/>
      <x:c r="N22" s="1"/>
    </x:row>
    <x:row r="23" ht="21" customHeight="1">
      <x:c r="A23" s="1" t="n">
        <x:f>Estoque!A23</x:f>
        <x:v>2645</x:v>
      </x:c>
      <x:c r="B23" s="1" t="n">
        <x:f>Estoque!B23</x:f>
        <x:v>12</x:v>
      </x:c>
      <x:c r="C23" s="1" t="n">
        <x:f>Estoque!C23</x:f>
        <x:v>111</x:v>
      </x:c>
      <x:c r="D23" s="1" t="n">
        <x:f>Estoque!D23</x:f>
        <x:v>1</x:v>
      </x:c>
      <x:c r="E23" s="8" t="n">
        <x:f>Estoque!E23</x:f>
        <x:v>46690</x:v>
      </x:c>
      <x:c r="F23" s="1" t="n">
        <x:f>MAX(0,E23-Conferencia!$B$5)</x:f>
        <x:v>508</x:v>
      </x:c>
      <x:c r="G23" s="11" t="n">
        <x:f>Historico!K22</x:f>
        <x:v>102</x:v>
      </x:c>
      <x:c r="H23" s="11" t="n">
        <x:f>G23*F23/Conferencia!$B$6</x:f>
        <x:v>1727.2</x:v>
      </x:c>
      <x:c r="I23" s="11" t="n">
        <x:f>SUM(J20:J22)</x:f>
        <x:v>4</x:v>
      </x:c>
      <x:c r="J23" s="11" t="n">
        <x:f>MIN(D23,MAX(0,H23-I23))</x:f>
        <x:v>1</x:v>
      </x:c>
      <x:c r="K23" s="11" t="n">
        <x:f>D23-J23</x:f>
        <x:v>0</x:v>
      </x:c>
      <x:c r="L23" s="1"/>
      <x:c r="M23" s="1"/>
      <x:c r="N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Capacidade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Lote 2183, medicamento 66, origem 11. Situação inicial; inclui destinos sem registro de estoque.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Lote origem</x:v>
      </x:c>
      <x:c r="B4" s="7" t="str">
        <x:v>Destino</x:v>
      </x:c>
      <x:c r="C4" s="7" t="str">
        <x:v>CMM</x:v>
      </x:c>
      <x:c r="D4" s="7" t="str">
        <x:v>Capacidade livre</x:v>
      </x:c>
      <x:c r="E4" s="7" t="str">
        <x:v>Sem novo risco</x:v>
      </x:c>
      <x:c r="F4" s="7" t="str">
        <x:v>Admissível</x:v>
      </x:c>
      <x:c r="G4" s="7" t="str">
        <x:v>Motivo</x:v>
      </x:c>
      <x:c r="H4" s="7" t="str">
        <x:v>Posição</x:v>
      </x:c>
      <x:c r="I4" s="1"/>
      <x:c r="J4" s="1"/>
      <x:c r="K4" s="1"/>
      <x:c r="L4" s="1"/>
      <x:c r="M4" s="1"/>
      <x:c r="N4" s="1"/>
    </x:row>
    <x:row r="5" ht="21" customHeight="1">
      <x:c r="A5" s="1" t="n">
        <x:v>2183</x:v>
      </x:c>
      <x:c r="B5" s="1" t="n">
        <x:v>1</x:v>
      </x:c>
      <x:c r="C5" s="11" t="n">
        <x:f>Plano!B12</x:f>
        <x:v>91.16666666666667</x:v>
      </x:c>
      <x:c r="D5" s="11" t="n">
        <x:f>Plano!K12</x:f>
        <x:v>385.9388888888889</x:v>
      </x:c>
      <x:c r="E5" s="11" t="n">
        <x:f>Plano!L12</x:f>
        <x:v>385.9388888888889</x:v>
      </x:c>
      <x:c r="F5" s="1" t="n">
        <x:f>Plano!M12</x:f>
        <x:v>14</x:v>
      </x:c>
      <x:c r="G5" s="13" t="str">
        <x:f>IF(C5=0,"CMM_ZERO",IF(F5=0,"CAPACIDADE_OU_RISCO_INFERIOR_A_UMA_UNIDADE","ADMISSIVEL"))</x:f>
        <x:v>ADMISSIVEL</x:v>
      </x:c>
      <x:c r="H5" s="1" t="n">
        <x:f>Plano!N12</x:f>
        <x:v>2</x:v>
      </x:c>
      <x:c r="I5" s="1"/>
      <x:c r="J5" s="1"/>
      <x:c r="K5" s="1"/>
      <x:c r="L5" s="1"/>
      <x:c r="M5" s="1"/>
      <x:c r="N5" s="1"/>
    </x:row>
    <x:row r="6" ht="21" customHeight="1">
      <x:c r="A6" s="1" t="n">
        <x:v>2183</x:v>
      </x:c>
      <x:c r="B6" s="1" t="n">
        <x:v>2</x:v>
      </x:c>
      <x:c r="C6" s="11" t="n">
        <x:f>Plano!B13</x:f>
        <x:v>82.33333333333333</x:v>
      </x:c>
      <x:c r="D6" s="11" t="n">
        <x:f>Plano!K13</x:f>
        <x:v>348.5444444444444</x:v>
      </x:c>
      <x:c r="E6" s="11" t="n">
        <x:f>Plano!L13</x:f>
        <x:v>348.5444444444444</x:v>
      </x:c>
      <x:c r="F6" s="1" t="n">
        <x:f>Plano!M13</x:f>
        <x:v>14</x:v>
      </x:c>
      <x:c r="G6" s="13" t="str">
        <x:f>IF(C6=0,"CMM_ZERO",IF(F6=0,"CAPACIDADE_OU_RISCO_INFERIOR_A_UMA_UNIDADE","ADMISSIVEL"))</x:f>
        <x:v>ADMISSIVEL</x:v>
      </x:c>
      <x:c r="H6" s="1" t="n">
        <x:f>Plano!N13</x:f>
        <x:v>4</x:v>
      </x:c>
      <x:c r="I6" s="1"/>
      <x:c r="J6" s="1"/>
      <x:c r="K6" s="1"/>
      <x:c r="L6" s="1"/>
      <x:c r="M6" s="1"/>
      <x:c r="N6" s="1"/>
    </x:row>
    <x:row r="7" ht="21" customHeight="1">
      <x:c r="A7" s="1" t="n">
        <x:v>2183</x:v>
      </x:c>
      <x:c r="B7" s="1" t="n">
        <x:v>3</x:v>
      </x:c>
      <x:c r="C7" s="11" t="n">
        <x:f>Plano!B14</x:f>
        <x:v>81.66666666666667</x:v>
      </x:c>
      <x:c r="D7" s="11" t="n">
        <x:f>Plano!K14</x:f>
        <x:v>345.7222222222223</x:v>
      </x:c>
      <x:c r="E7" s="11" t="n">
        <x:f>Plano!L14</x:f>
        <x:v>345.7222222222223</x:v>
      </x:c>
      <x:c r="F7" s="1" t="n">
        <x:f>Plano!M14</x:f>
        <x:v>14</x:v>
      </x:c>
      <x:c r="G7" s="13" t="str">
        <x:f>IF(C7=0,"CMM_ZERO",IF(F7=0,"CAPACIDADE_OU_RISCO_INFERIOR_A_UMA_UNIDADE","ADMISSIVEL"))</x:f>
        <x:v>ADMISSIVEL</x:v>
      </x:c>
      <x:c r="H7" s="1" t="n">
        <x:f>Plano!N14</x:f>
        <x:v>5</x:v>
      </x:c>
      <x:c r="I7" s="1"/>
      <x:c r="J7" s="1"/>
      <x:c r="K7" s="1"/>
      <x:c r="L7" s="1"/>
      <x:c r="M7" s="1"/>
      <x:c r="N7" s="1"/>
    </x:row>
    <x:row r="8" ht="21" customHeight="1">
      <x:c r="A8" s="1" t="n">
        <x:v>2183</x:v>
      </x:c>
      <x:c r="B8" s="1" t="n">
        <x:v>4</x:v>
      </x:c>
      <x:c r="C8" s="11" t="n">
        <x:f>Plano!B15</x:f>
        <x:v>90.83333333333333</x:v>
      </x:c>
      <x:c r="D8" s="11" t="n">
        <x:f>Plano!K15</x:f>
        <x:v>384.5277777777777</x:v>
      </x:c>
      <x:c r="E8" s="11" t="n">
        <x:f>Plano!L15</x:f>
        <x:v>384.5277777777777</x:v>
      </x:c>
      <x:c r="F8" s="1" t="n">
        <x:f>Plano!M15</x:f>
        <x:v>14</x:v>
      </x:c>
      <x:c r="G8" s="13" t="str">
        <x:f>IF(C8=0,"CMM_ZERO",IF(F8=0,"CAPACIDADE_OU_RISCO_INFERIOR_A_UMA_UNIDADE","ADMISSIVEL"))</x:f>
        <x:v>ADMISSIVEL</x:v>
      </x:c>
      <x:c r="H8" s="1" t="n">
        <x:f>Plano!N15</x:f>
        <x:v>3</x:v>
      </x:c>
      <x:c r="I8" s="1"/>
      <x:c r="J8" s="1"/>
      <x:c r="K8" s="1"/>
      <x:c r="L8" s="1"/>
      <x:c r="M8" s="1"/>
      <x:c r="N8" s="1"/>
    </x:row>
    <x:row r="9" ht="21" customHeight="1">
      <x:c r="A9" s="1" t="n">
        <x:v>2183</x:v>
      </x:c>
      <x:c r="B9" s="1" t="n">
        <x:v>5</x:v>
      </x:c>
      <x:c r="C9" s="11" t="n">
        <x:f>Plano!B16</x:f>
        <x:v>33.5</x:v>
      </x:c>
      <x:c r="D9" s="11" t="n">
        <x:f>Plano!K16</x:f>
        <x:v>141.81666666666666</x:v>
      </x:c>
      <x:c r="E9" s="11" t="n">
        <x:f>Plano!L16</x:f>
        <x:v>141.81666666666666</x:v>
      </x:c>
      <x:c r="F9" s="1" t="n">
        <x:f>Plano!M16</x:f>
        <x:v>14</x:v>
      </x:c>
      <x:c r="G9" s="13" t="str">
        <x:f>IF(C9=0,"CMM_ZERO",IF(F9=0,"CAPACIDADE_OU_RISCO_INFERIOR_A_UMA_UNIDADE","ADMISSIVEL"))</x:f>
        <x:v>ADMISSIVEL</x:v>
      </x:c>
      <x:c r="H9" s="1" t="n">
        <x:f>Plano!N16</x:f>
        <x:v>12</x:v>
      </x:c>
      <x:c r="I9" s="1"/>
      <x:c r="J9" s="1"/>
      <x:c r="K9" s="1"/>
      <x:c r="L9" s="1"/>
      <x:c r="M9" s="1"/>
      <x:c r="N9" s="1"/>
    </x:row>
    <x:row r="10" ht="21" customHeight="1">
      <x:c r="A10" s="1" t="n">
        <x:v>2183</x:v>
      </x:c>
      <x:c r="B10" s="1" t="n">
        <x:v>6</x:v>
      </x:c>
      <x:c r="C10" s="11" t="n">
        <x:f>Plano!B17</x:f>
        <x:v>121</x:v>
      </x:c>
      <x:c r="D10" s="11" t="n">
        <x:f>Plano!K17</x:f>
        <x:v>512.2333333333333</x:v>
      </x:c>
      <x:c r="E10" s="11" t="n">
        <x:f>Plano!L17</x:f>
        <x:v>512.2333333333333</x:v>
      </x:c>
      <x:c r="F10" s="1" t="n">
        <x:f>Plano!M17</x:f>
        <x:v>14</x:v>
      </x:c>
      <x:c r="G10" s="13" t="str">
        <x:f>IF(C10=0,"CMM_ZERO",IF(F10=0,"CAPACIDADE_OU_RISCO_INFERIOR_A_UMA_UNIDADE","ADMISSIVEL"))</x:f>
        <x:v>ADMISSIVEL</x:v>
      </x:c>
      <x:c r="H10" s="1" t="n">
        <x:f>Plano!N17</x:f>
        <x:v>1</x:v>
      </x:c>
      <x:c r="I10" s="1"/>
      <x:c r="J10" s="1"/>
      <x:c r="K10" s="1"/>
      <x:c r="L10" s="1"/>
      <x:c r="M10" s="1"/>
      <x:c r="N10" s="1"/>
    </x:row>
    <x:row r="11" ht="21" customHeight="1">
      <x:c r="A11" s="1" t="n">
        <x:v>2183</x:v>
      </x:c>
      <x:c r="B11" s="1" t="n">
        <x:v>7</x:v>
      </x:c>
      <x:c r="C11" s="11" t="n">
        <x:f>Plano!B18</x:f>
        <x:v>38.333333333333336</x:v>
      </x:c>
      <x:c r="D11" s="11" t="n">
        <x:f>Plano!K18</x:f>
        <x:v>162.2777777777778</x:v>
      </x:c>
      <x:c r="E11" s="11" t="n">
        <x:f>Plano!L18</x:f>
        <x:v>162.2777777777778</x:v>
      </x:c>
      <x:c r="F11" s="1" t="n">
        <x:f>Plano!M18</x:f>
        <x:v>14</x:v>
      </x:c>
      <x:c r="G11" s="13" t="str">
        <x:f>IF(C11=0,"CMM_ZERO",IF(F11=0,"CAPACIDADE_OU_RISCO_INFERIOR_A_UMA_UNIDADE","ADMISSIVEL"))</x:f>
        <x:v>ADMISSIVEL</x:v>
      </x:c>
      <x:c r="H11" s="1" t="n">
        <x:f>Plano!N18</x:f>
        <x:v>11</x:v>
      </x:c>
      <x:c r="I11" s="1"/>
      <x:c r="J11" s="1"/>
      <x:c r="K11" s="1"/>
      <x:c r="L11" s="1"/>
      <x:c r="M11" s="1"/>
      <x:c r="N11" s="1"/>
    </x:row>
    <x:row r="12" ht="21" customHeight="1">
      <x:c r="A12" s="1" t="n">
        <x:v>2183</x:v>
      </x:c>
      <x:c r="B12" s="1" t="n">
        <x:v>8</x:v>
      </x:c>
      <x:c r="C12" s="11" t="n">
        <x:f>Plano!B19</x:f>
        <x:v>74.33333333333333</x:v>
      </x:c>
      <x:c r="D12" s="11" t="n">
        <x:f>Plano!K19</x:f>
        <x:v>314.67777777777775</x:v>
      </x:c>
      <x:c r="E12" s="11" t="n">
        <x:f>Plano!L19</x:f>
        <x:v>314.67777777777775</x:v>
      </x:c>
      <x:c r="F12" s="1" t="n">
        <x:f>Plano!M19</x:f>
        <x:v>14</x:v>
      </x:c>
      <x:c r="G12" s="13" t="str">
        <x:f>IF(C12=0,"CMM_ZERO",IF(F12=0,"CAPACIDADE_OU_RISCO_INFERIOR_A_UMA_UNIDADE","ADMISSIVEL"))</x:f>
        <x:v>ADMISSIVEL</x:v>
      </x:c>
      <x:c r="H12" s="1" t="n">
        <x:f>Plano!N19</x:f>
        <x:v>6</x:v>
      </x:c>
      <x:c r="I12" s="1"/>
      <x:c r="J12" s="1"/>
      <x:c r="K12" s="1"/>
      <x:c r="L12" s="1"/>
      <x:c r="M12" s="1"/>
      <x:c r="N12" s="1"/>
    </x:row>
    <x:row r="13" ht="21" customHeight="1">
      <x:c r="A13" s="1" t="n">
        <x:v>2183</x:v>
      </x:c>
      <x:c r="B13" s="1" t="n">
        <x:v>9</x:v>
      </x:c>
      <x:c r="C13" s="11" t="n">
        <x:f>Plano!B20</x:f>
        <x:v>0</x:v>
      </x:c>
      <x:c r="D13" s="11" t="n">
        <x:f>Plano!K20</x:f>
        <x:v>0</x:v>
      </x:c>
      <x:c r="E13" s="11" t="n">
        <x:f>Plano!L20</x:f>
        <x:v>0</x:v>
      </x:c>
      <x:c r="F13" s="1" t="n">
        <x:f>Plano!M20</x:f>
        <x:v>0</x:v>
      </x:c>
      <x:c r="G13" s="13" t="str">
        <x:f>IF(C13=0,"CMM_ZERO",IF(F13=0,"CAPACIDADE_OU_RISCO_INFERIOR_A_UMA_UNIDADE","ADMISSIVEL"))</x:f>
        <x:v>CMM_ZERO</x:v>
      </x:c>
      <x:c r="H13" s="1" t="n">
        <x:f>Plano!N20</x:f>
        <x:v>0</x:v>
      </x:c>
      <x:c r="I13" s="1"/>
      <x:c r="J13" s="1"/>
      <x:c r="K13" s="1"/>
      <x:c r="L13" s="1"/>
      <x:c r="M13" s="1"/>
      <x:c r="N13" s="1"/>
    </x:row>
    <x:row r="14" ht="21" customHeight="1">
      <x:c r="A14" s="1" t="n">
        <x:v>2183</x:v>
      </x:c>
      <x:c r="B14" s="1" t="n">
        <x:v>10</x:v>
      </x:c>
      <x:c r="C14" s="11" t="n">
        <x:f>Plano!B21</x:f>
        <x:v>40</x:v>
      </x:c>
      <x:c r="D14" s="11" t="n">
        <x:f>Plano!K21</x:f>
        <x:v>169.33333333333334</x:v>
      </x:c>
      <x:c r="E14" s="11" t="n">
        <x:f>Plano!L21</x:f>
        <x:v>169.33333333333334</x:v>
      </x:c>
      <x:c r="F14" s="1" t="n">
        <x:f>Plano!M21</x:f>
        <x:v>14</x:v>
      </x:c>
      <x:c r="G14" s="13" t="str">
        <x:f>IF(C14=0,"CMM_ZERO",IF(F14=0,"CAPACIDADE_OU_RISCO_INFERIOR_A_UMA_UNIDADE","ADMISSIVEL"))</x:f>
        <x:v>ADMISSIVEL</x:v>
      </x:c>
      <x:c r="H14" s="1" t="n">
        <x:f>Plano!N21</x:f>
        <x:v>9</x:v>
      </x:c>
      <x:c r="I14" s="1"/>
      <x:c r="J14" s="1"/>
      <x:c r="K14" s="1"/>
      <x:c r="L14" s="1"/>
      <x:c r="M14" s="1"/>
      <x:c r="N14" s="1"/>
    </x:row>
    <x:row r="15" ht="21" customHeight="1">
      <x:c r="A15" s="1" t="n">
        <x:v>2183</x:v>
      </x:c>
      <x:c r="B15" s="1" t="n">
        <x:v>12</x:v>
      </x:c>
      <x:c r="C15" s="11" t="n">
        <x:f>Plano!B23</x:f>
        <x:v>39.833333333333336</x:v>
      </x:c>
      <x:c r="D15" s="11" t="n">
        <x:f>Plano!K23</x:f>
        <x:v>168.6277777777778</x:v>
      </x:c>
      <x:c r="E15" s="11" t="n">
        <x:f>Plano!L23</x:f>
        <x:v>168.6277777777778</x:v>
      </x:c>
      <x:c r="F15" s="1" t="n">
        <x:f>Plano!M23</x:f>
        <x:v>14</x:v>
      </x:c>
      <x:c r="G15" s="13" t="str">
        <x:f>IF(C15=0,"CMM_ZERO",IF(F15=0,"CAPACIDADE_OU_RISCO_INFERIOR_A_UMA_UNIDADE","ADMISSIVEL"))</x:f>
        <x:v>ADMISSIVEL</x:v>
      </x:c>
      <x:c r="H15" s="1" t="n">
        <x:f>Plano!N23</x:f>
        <x:v>10</x:v>
      </x:c>
      <x:c r="I15" s="1"/>
      <x:c r="J15" s="1"/>
      <x:c r="K15" s="1"/>
      <x:c r="L15" s="1"/>
      <x:c r="M15" s="1"/>
      <x:c r="N15" s="1"/>
    </x:row>
    <x:row r="16" ht="21" customHeight="1">
      <x:c r="A16" s="1" t="n">
        <x:v>2183</x:v>
      </x:c>
      <x:c r="B16" s="1" t="n">
        <x:v>13</x:v>
      </x:c>
      <x:c r="C16" s="11" t="n">
        <x:f>Plano!B24</x:f>
        <x:v>22.5</x:v>
      </x:c>
      <x:c r="D16" s="11" t="n">
        <x:f>Plano!K24</x:f>
        <x:v>95.25</x:v>
      </x:c>
      <x:c r="E16" s="11" t="n">
        <x:f>Plano!L24</x:f>
        <x:v>95.25</x:v>
      </x:c>
      <x:c r="F16" s="1" t="n">
        <x:f>Plano!M24</x:f>
        <x:v>14</x:v>
      </x:c>
      <x:c r="G16" s="13" t="str">
        <x:f>IF(C16=0,"CMM_ZERO",IF(F16=0,"CAPACIDADE_OU_RISCO_INFERIOR_A_UMA_UNIDADE","ADMISSIVEL"))</x:f>
        <x:v>ADMISSIVEL</x:v>
      </x:c>
      <x:c r="H16" s="1" t="n">
        <x:f>Plano!N24</x:f>
        <x:v>13</x:v>
      </x:c>
      <x:c r="I16" s="1"/>
      <x:c r="J16" s="1"/>
      <x:c r="K16" s="1"/>
      <x:c r="L16" s="1"/>
      <x:c r="M16" s="1"/>
      <x:c r="N16" s="1"/>
    </x:row>
    <x:row r="17" ht="21" customHeight="1">
      <x:c r="A17" s="1" t="n">
        <x:v>2183</x:v>
      </x:c>
      <x:c r="B17" s="1" t="n">
        <x:v>14</x:v>
      </x:c>
      <x:c r="C17" s="11" t="n">
        <x:f>Plano!B25</x:f>
        <x:v>0</x:v>
      </x:c>
      <x:c r="D17" s="11" t="n">
        <x:f>Plano!K25</x:f>
        <x:v>0</x:v>
      </x:c>
      <x:c r="E17" s="11" t="n">
        <x:f>Plano!L25</x:f>
        <x:v>0</x:v>
      </x:c>
      <x:c r="F17" s="1" t="n">
        <x:f>Plano!M25</x:f>
        <x:v>0</x:v>
      </x:c>
      <x:c r="G17" s="13" t="str">
        <x:f>IF(C17=0,"CMM_ZERO",IF(F17=0,"CAPACIDADE_OU_RISCO_INFERIOR_A_UMA_UNIDADE","ADMISSIVEL"))</x:f>
        <x:v>CMM_ZERO</x:v>
      </x:c>
      <x:c r="H17" s="1" t="n">
        <x:f>Plano!N25</x:f>
        <x:v>0</x:v>
      </x:c>
      <x:c r="I17" s="1"/>
      <x:c r="J17" s="1"/>
      <x:c r="K17" s="1"/>
      <x:c r="L17" s="1"/>
      <x:c r="M17" s="1"/>
      <x:c r="N17" s="1"/>
    </x:row>
    <x:row r="18" ht="21" customHeight="1">
      <x:c r="A18" s="1" t="n">
        <x:v>2183</x:v>
      </x:c>
      <x:c r="B18" s="1" t="n">
        <x:v>15</x:v>
      </x:c>
      <x:c r="C18" s="11" t="n">
        <x:f>Plano!B26</x:f>
        <x:v>42</x:v>
      </x:c>
      <x:c r="D18" s="11" t="n">
        <x:f>Plano!K26</x:f>
        <x:v>177.8</x:v>
      </x:c>
      <x:c r="E18" s="11" t="n">
        <x:f>Plano!L26</x:f>
        <x:v>177.8</x:v>
      </x:c>
      <x:c r="F18" s="1" t="n">
        <x:f>Plano!M26</x:f>
        <x:v>14</x:v>
      </x:c>
      <x:c r="G18" s="13" t="str">
        <x:f>IF(C18=0,"CMM_ZERO",IF(F18=0,"CAPACIDADE_OU_RISCO_INFERIOR_A_UMA_UNIDADE","ADMISSIVEL"))</x:f>
        <x:v>ADMISSIVEL</x:v>
      </x:c>
      <x:c r="H18" s="1" t="n">
        <x:f>Plano!N26</x:f>
        <x:v>8</x:v>
      </x:c>
      <x:c r="I18" s="1"/>
      <x:c r="J18" s="1"/>
      <x:c r="K18" s="1"/>
      <x:c r="L18" s="1"/>
      <x:c r="M18" s="1"/>
      <x:c r="N18" s="1"/>
    </x:row>
    <x:row r="19" ht="21" customHeight="1">
      <x:c r="A19" s="1" t="n">
        <x:v>2183</x:v>
      </x:c>
      <x:c r="B19" s="1" t="n">
        <x:v>16</x:v>
      </x:c>
      <x:c r="C19" s="11" t="n">
        <x:f>Plano!B27</x:f>
        <x:v>50.833333333333336</x:v>
      </x:c>
      <x:c r="D19" s="11" t="n">
        <x:f>Plano!K27</x:f>
        <x:v>215.19444444444446</x:v>
      </x:c>
      <x:c r="E19" s="11" t="n">
        <x:f>Plano!L27</x:f>
        <x:v>215.19444444444446</x:v>
      </x:c>
      <x:c r="F19" s="1" t="n">
        <x:f>Plano!M27</x:f>
        <x:v>14</x:v>
      </x:c>
      <x:c r="G19" s="13" t="str">
        <x:f>IF(C19=0,"CMM_ZERO",IF(F19=0,"CAPACIDADE_OU_RISCO_INFERIOR_A_UMA_UNIDADE","ADMISSIVEL"))</x:f>
        <x:v>ADMISSIVEL</x:v>
      </x:c>
      <x:c r="H19" s="1" t="n">
        <x:f>Plano!N27</x:f>
        <x:v>7</x:v>
      </x:c>
      <x:c r="I19" s="1"/>
      <x:c r="J19" s="1"/>
      <x:c r="K19" s="1"/>
      <x:c r="L19" s="1"/>
      <x:c r="M19" s="1"/>
      <x:c r="N19" s="1"/>
    </x:row>
    <x:row r="20" ht="21" customHeight="1">
      <x:c r="A20" s="1" t="n">
        <x:v>2183</x:v>
      </x:c>
      <x:c r="B20" s="1" t="n">
        <x:v>17</x:v>
      </x:c>
      <x:c r="C20" s="11" t="n">
        <x:f>Plano!B28</x:f>
        <x:v>0</x:v>
      </x:c>
      <x:c r="D20" s="11" t="n">
        <x:f>Plano!K28</x:f>
        <x:v>0</x:v>
      </x:c>
      <x:c r="E20" s="11" t="n">
        <x:f>Plano!L28</x:f>
        <x:v>0</x:v>
      </x:c>
      <x:c r="F20" s="1" t="n">
        <x:f>Plano!M28</x:f>
        <x:v>0</x:v>
      </x:c>
      <x:c r="G20" s="13" t="str">
        <x:f>IF(C20=0,"CMM_ZERO",IF(F20=0,"CAPACIDADE_OU_RISCO_INFERIOR_A_UMA_UNIDADE","ADMISSIVEL"))</x:f>
        <x:v>CMM_ZERO</x:v>
      </x:c>
      <x:c r="H20" s="1" t="n">
        <x:f>Plano!N28</x:f>
        <x:v>0</x:v>
      </x:c>
      <x:c r="I20" s="1"/>
      <x:c r="J20" s="1"/>
      <x:c r="K20" s="1"/>
      <x:c r="L20" s="1"/>
      <x:c r="M20" s="1"/>
      <x:c r="N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Plano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Medicamento 66: ADESIVO DE NICOTINA 7 MG (DISCO ADESIVO). Duas origens; contas por prazo.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Etapa</x:v>
      </x:c>
      <x:c r="B4" s="7" t="str">
        <x:v>Lote origem</x:v>
      </x:c>
      <x:c r="C4" s="7" t="str">
        <x:v>Unidade origem</x:v>
      </x:c>
      <x:c r="D4" s="7" t="str">
        <x:v>Saldo atual</x:v>
      </x:c>
      <x:c r="E4" s="7" t="str">
        <x:v>Validade</x:v>
      </x:c>
      <x:c r="F4" s="7" t="str">
        <x:v>Dias úteis</x:v>
      </x:c>
      <x:c r="G4" s="7" t="str">
        <x:v>CMM origem</x:v>
      </x:c>
      <x:c r="H4" s="7" t="str">
        <x:v>Já recebido</x:v>
      </x:c>
      <x:c r="I4" s="7" t="str">
        <x:v>Consumível</x:v>
      </x:c>
      <x:c r="J4" s="7" t="str">
        <x:v>Risco atual</x:v>
      </x:c>
      <x:c r="K4" s="7" t="str">
        <x:v>Destino</x:v>
      </x:c>
      <x:c r="L4" s="7" t="str">
        <x:v>Quantidade</x:v>
      </x:c>
      <x:c r="M4" s="7" t="str">
        <x:v>Risco restante</x:v>
      </x:c>
      <x:c r="N4" s="7" t="str">
        <x:v>Situação</x:v>
      </x:c>
    </x:row>
    <x:row r="5" ht="21" customHeight="1">
      <x:c r="A5" s="1" t="n">
        <x:v>1</x:v>
      </x:c>
      <x:c r="B5" s="1" t="n">
        <x:f>Lotes!A19</x:f>
        <x:v>2183</x:v>
      </x:c>
      <x:c r="C5" s="1" t="n">
        <x:f>Lotes!B19</x:f>
        <x:v>11</x:v>
      </x:c>
      <x:c r="D5" s="1" t="n">
        <x:f>Lotes!D19</x:f>
        <x:v>14</x:v>
      </x:c>
      <x:c r="E5" s="8" t="n">
        <x:f>Lotes!E19</x:f>
        <x:v>46309</x:v>
      </x:c>
      <x:c r="F5" s="1" t="n">
        <x:f>MAX(0,E5-Conferencia!$B$5)</x:f>
        <x:v>127</x:v>
      </x:c>
      <x:c r="G5" s="11" t="n">
        <x:f>Lotes!G19</x:f>
        <x:v>0</x:v>
      </x:c>
      <x:c r="H5" s="11" t="n">
        <x:f>0</x:f>
        <x:v>0</x:v>
      </x:c>
      <x:c r="I5" s="11" t="n">
        <x:f>MIN(D5,MAX(0,G5*F5/Conferencia!$B$6-H5))</x:f>
        <x:v>0</x:v>
      </x:c>
      <x:c r="J5" s="11" t="n">
        <x:f>D5-I5</x:f>
        <x:v>14</x:v>
      </x:c>
      <x:c r="K5" s="1" t="n">
        <x:f>IF(L5&gt;0,SUMIF(N12:N28,1,A12:A28),0)</x:f>
        <x:v>6</x:v>
      </x:c>
      <x:c r="L5" s="1" t="n">
        <x:f>MAX(M12:M28)</x:f>
        <x:v>14</x:v>
      </x:c>
      <x:c r="M5" s="1" t="n">
        <x:f>MAX(0,J5-L5)</x:f>
        <x:v>0</x:v>
      </x:c>
      <x:c r="N5" s="1" t="str">
        <x:f>IF(M5&lt;1,"ENCERRADO",IF(L5=0,"SEM_DESTINO","AMPLIAR_ETAPAS"))</x:f>
        <x:v>ENCERRADO</x:v>
      </x:c>
    </x:row>
    <x:row r="6" ht="21" customHeight="1">
      <x:c r="A6" s="1" t="n">
        <x:v>2</x:v>
      </x:c>
      <x:c r="B6" s="1" t="n">
        <x:f>Lotes!A18</x:f>
        <x:v>1254</x:v>
      </x:c>
      <x:c r="C6" s="1" t="n">
        <x:f>Lotes!B18</x:f>
        <x:v>7</x:v>
      </x:c>
      <x:c r="D6" s="1" t="n">
        <x:f>Lotes!D18-IF(C5=C6,L5,0)</x:f>
        <x:v>250</x:v>
      </x:c>
      <x:c r="E6" s="8" t="n">
        <x:f>Lotes!E18</x:f>
        <x:v>46621</x:v>
      </x:c>
      <x:c r="F6" s="1" t="n">
        <x:f>MAX(0,E6-Conferencia!$B$5)</x:f>
        <x:v>439</x:v>
      </x:c>
      <x:c r="G6" s="11" t="n">
        <x:f>Lotes!G18</x:f>
        <x:v>38.333333333333336</x:v>
      </x:c>
      <x:c r="H6" s="11" t="n">
        <x:f>IF(K5=C6,L5,0)</x:f>
        <x:v>0</x:v>
      </x:c>
      <x:c r="I6" s="11" t="n">
        <x:f>MIN(D6,MAX(0,G6*F6/Conferencia!$B$6-H6))</x:f>
        <x:v>250</x:v>
      </x:c>
      <x:c r="J6" s="11" t="n">
        <x:f>D6-I6</x:f>
        <x:v>0</x:v>
      </x:c>
      <x:c r="K6" s="1" t="n">
        <x:f>IF(L6&gt;0,SUMIF(N34:N50,1,A34:A50),0)</x:f>
        <x:v>0</x:v>
      </x:c>
      <x:c r="L6" s="1" t="n">
        <x:f>MAX(M34:M50)</x:f>
        <x:v>0</x:v>
      </x:c>
      <x:c r="M6" s="1" t="n">
        <x:f>MAX(0,J6-L6)</x:f>
        <x:v>0</x:v>
      </x:c>
      <x:c r="N6" s="1" t="str">
        <x:f>IF(M6&lt;1,"ENCERRADO",IF(L6=0,"SEM_DESTINO","AMPLIAR_ETAPAS"))</x:f>
        <x:v>ENCERRADO</x:v>
      </x:c>
    </x:row>
    <x:row r="7" ht="21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1" customHeight="1">
      <x:c r="A8" s="1" t="str">
        <x:v>Movimentos esperados</x:v>
      </x:c>
      <x:c r="B8" s="1"/>
      <x:c r="C8" s="1" t="n">
        <x:f>COUNTIF(L5:L6,"&gt;0")</x:f>
        <x:v>1</x:v>
      </x:c>
      <x:c r="D8" s="1"/>
      <x:c r="E8" s="1"/>
      <x:c r="F8" s="1"/>
      <x:c r="G8" s="1" t="str">
        <x:v>Cobertura do plano</x:v>
      </x:c>
      <x:c r="H8" s="1"/>
      <x:c r="I8" s="1" t="str">
        <x:f>IF(COUNTIF(N5:N6,"AMPLIAR_ETAPAS")=0,"COMPLETO NESTA AMOSTRA","AMPLIAR A PLANILHA")</x:f>
        <x:v>COMPLETO NESTA AMOSTRA</x:v>
      </x:c>
      <x:c r="J8" s="1"/>
      <x:c r="K8" s="1"/>
      <x:c r="L8" s="1"/>
      <x:c r="M8" s="1"/>
      <x:c r="N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6" customHeight="1">
      <x:c r="A11" s="7" t="str">
        <x:v>Destino</x:v>
      </x:c>
      <x:c r="B11" s="7" t="str">
        <x:v>CMM</x:v>
      </x:c>
      <x:c r="C11" s="7" t="str">
        <x:v>Estoque inicial</x:v>
      </x:c>
      <x:c r="D11" s="7" t="str">
        <x:v>Dias lote próprio</x:v>
      </x:c>
      <x:c r="E11" s="7" t="str">
        <x:v>Já recebido</x:v>
      </x:c>
      <x:c r="F11" s="7" t="str">
        <x:v>Já enviado</x:v>
      </x:c>
      <x:c r="G11" s="7" t="str">
        <x:v>Saldo próprio</x:v>
      </x:c>
      <x:c r="H11" s="7" t="str">
        <x:v>Uso próprio</x:v>
      </x:c>
      <x:c r="I11" s="7" t="str">
        <x:v>Cap. no prazo</x:v>
      </x:c>
      <x:c r="J11" s="7" t="str">
        <x:v>Uso prioritário</x:v>
      </x:c>
      <x:c r="K11" s="7" t="str">
        <x:v>Cap. livre</x:v>
      </x:c>
      <x:c r="L11" s="7" t="str">
        <x:v>Sem novo risco</x:v>
      </x:c>
      <x:c r="M11" s="7" t="str">
        <x:v>Admissível</x:v>
      </x:c>
      <x:c r="N11" s="7" t="str">
        <x:v>Posição</x:v>
      </x:c>
    </x:row>
    <x:row r="12" ht="21" customHeight="1">
      <x:c r="A12" s="1" t="n">
        <x:v>1</x:v>
      </x:c>
      <x:c r="B12" s="11" t="n">
        <x:f>Historico!K8</x:f>
        <x:v>91.16666666666667</x:v>
      </x:c>
      <x:c r="C12" s="11" t="n">
        <x:f>SUMIFS(Estoque!$D$5:$D$23,Estoque!$B$5:$B$23,A12,Estoque!$C$5:$C$23,66)</x:f>
        <x:v>0</x:v>
      </x:c>
      <x:c r="D12" s="11" t="n">
        <x:f>0</x:f>
        <x:v>0</x:v>
      </x:c>
      <x:c r="E12" s="11" t="n">
        <x:f>0</x:f>
        <x:v>0</x:v>
      </x:c>
      <x:c r="F12" s="11" t="n">
        <x:f>0</x:f>
        <x:v>0</x:v>
      </x:c>
      <x:c r="G12" s="11" t="n">
        <x:f>MAX(0,C12-F12)</x:f>
        <x:v>0</x:v>
      </x:c>
      <x:c r="H12" s="11" t="n">
        <x:f>MIN(G12,MAX(0,B12*D12/Conferencia!$B$6-E12))</x:f>
        <x:v>0</x:v>
      </x:c>
      <x:c r="I12" s="11" t="n">
        <x:f>B12*$F$5/Conferencia!$B$6</x:f>
        <x:v>385.9388888888889</x:v>
      </x:c>
      <x:c r="J12" s="11" t="n">
        <x:f>E12+IF(D12&lt;=$F$5,H12,0)</x:f>
        <x:v>0</x:v>
      </x:c>
      <x:c r="K12" s="11" t="n">
        <x:f>MAX(0,I12-J12)</x:f>
        <x:v>385.9388888888889</x:v>
      </x:c>
      <x:c r="L12" s="11" t="n">
        <x:f>IF(D12&gt;$F$5,MIN(K12,MAX(0,B12*D12/Conferencia!$B$6-E12-H12)),K12)</x:f>
        <x:v>385.9388888888889</x:v>
      </x:c>
      <x:c r="M12" s="1" t="n">
        <x:f>IF(OR(A12=$C$5,$F$5&lt;=0),0,MAX(0,INT(MIN($J$5,L12)+Conferencia!$B$7)))</x:f>
        <x:v>14</x:v>
      </x:c>
      <x:c r="N12" s="1" t="n">
        <x:f>IF(M12=0,0,1+COUNTIF($M$12:$M$28,"&gt;"&amp;M12)+COUNTIFS($M$12:$M$28,M12,$K$12:$K$28,"&gt;"&amp;K12)+COUNTIFS($M$12:$M$28,M12,$K$12:$K$28,K12,$A$12:$A$28,"&lt;"&amp;A12))</x:f>
        <x:v>2</x:v>
      </x:c>
    </x:row>
    <x:row r="13" ht="21" customHeight="1">
      <x:c r="A13" s="1" t="n">
        <x:v>2</x:v>
      </x:c>
      <x:c r="B13" s="11" t="n">
        <x:f>Historico!K10</x:f>
        <x:v>82.33333333333333</x:v>
      </x:c>
      <x:c r="C13" s="11" t="n">
        <x:f>SUMIFS(Estoque!$D$5:$D$23,Estoque!$B$5:$B$23,A13,Estoque!$C$5:$C$23,66)</x:f>
        <x:v>0</x:v>
      </x:c>
      <x:c r="D13" s="11" t="n">
        <x:f>0</x:f>
        <x:v>0</x:v>
      </x:c>
      <x:c r="E13" s="11" t="n">
        <x:f>0</x:f>
        <x:v>0</x:v>
      </x:c>
      <x:c r="F13" s="11" t="n">
        <x:f>0</x:f>
        <x:v>0</x:v>
      </x:c>
      <x:c r="G13" s="11" t="n">
        <x:f>MAX(0,C13-F13)</x:f>
        <x:v>0</x:v>
      </x:c>
      <x:c r="H13" s="11" t="n">
        <x:f>MIN(G13,MAX(0,B13*D13/Conferencia!$B$6-E13))</x:f>
        <x:v>0</x:v>
      </x:c>
      <x:c r="I13" s="11" t="n">
        <x:f>B13*$F$5/Conferencia!$B$6</x:f>
        <x:v>348.5444444444444</x:v>
      </x:c>
      <x:c r="J13" s="11" t="n">
        <x:f>E13+IF(D13&lt;=$F$5,H13,0)</x:f>
        <x:v>0</x:v>
      </x:c>
      <x:c r="K13" s="11" t="n">
        <x:f>MAX(0,I13-J13)</x:f>
        <x:v>348.5444444444444</x:v>
      </x:c>
      <x:c r="L13" s="11" t="n">
        <x:f>IF(D13&gt;$F$5,MIN(K13,MAX(0,B13*D13/Conferencia!$B$6-E13-H13)),K13)</x:f>
        <x:v>348.5444444444444</x:v>
      </x:c>
      <x:c r="M13" s="1" t="n">
        <x:f>IF(OR(A13=$C$5,$F$5&lt;=0),0,MAX(0,INT(MIN($J$5,L13)+Conferencia!$B$7)))</x:f>
        <x:v>14</x:v>
      </x:c>
      <x:c r="N13" s="1" t="n">
        <x:f>IF(M13=0,0,1+COUNTIF($M$12:$M$28,"&gt;"&amp;M13)+COUNTIFS($M$12:$M$28,M13,$K$12:$K$28,"&gt;"&amp;K13)+COUNTIFS($M$12:$M$28,M13,$K$12:$K$28,K13,$A$12:$A$28,"&lt;"&amp;A13))</x:f>
        <x:v>4</x:v>
      </x:c>
    </x:row>
    <x:row r="14" ht="21" customHeight="1">
      <x:c r="A14" s="1" t="n">
        <x:v>3</x:v>
      </x:c>
      <x:c r="B14" s="11" t="n">
        <x:f>Historico!K12</x:f>
        <x:v>81.66666666666667</x:v>
      </x:c>
      <x:c r="C14" s="11" t="n">
        <x:f>SUMIFS(Estoque!$D$5:$D$23,Estoque!$B$5:$B$23,A14,Estoque!$C$5:$C$23,66)</x:f>
        <x:v>0</x:v>
      </x:c>
      <x:c r="D14" s="11" t="n">
        <x:f>0</x:f>
        <x:v>0</x:v>
      </x:c>
      <x:c r="E14" s="11" t="n">
        <x:f>0</x:f>
        <x:v>0</x:v>
      </x:c>
      <x:c r="F14" s="11" t="n">
        <x:f>0</x:f>
        <x:v>0</x:v>
      </x:c>
      <x:c r="G14" s="11" t="n">
        <x:f>MAX(0,C14-F14)</x:f>
        <x:v>0</x:v>
      </x:c>
      <x:c r="H14" s="11" t="n">
        <x:f>MIN(G14,MAX(0,B14*D14/Conferencia!$B$6-E14))</x:f>
        <x:v>0</x:v>
      </x:c>
      <x:c r="I14" s="11" t="n">
        <x:f>B14*$F$5/Conferencia!$B$6</x:f>
        <x:v>345.7222222222223</x:v>
      </x:c>
      <x:c r="J14" s="11" t="n">
        <x:f>E14+IF(D14&lt;=$F$5,H14,0)</x:f>
        <x:v>0</x:v>
      </x:c>
      <x:c r="K14" s="11" t="n">
        <x:f>MAX(0,I14-J14)</x:f>
        <x:v>345.7222222222223</x:v>
      </x:c>
      <x:c r="L14" s="11" t="n">
        <x:f>IF(D14&gt;$F$5,MIN(K14,MAX(0,B14*D14/Conferencia!$B$6-E14-H14)),K14)</x:f>
        <x:v>345.7222222222223</x:v>
      </x:c>
      <x:c r="M14" s="1" t="n">
        <x:f>IF(OR(A14=$C$5,$F$5&lt;=0),0,MAX(0,INT(MIN($J$5,L14)+Conferencia!$B$7)))</x:f>
        <x:v>14</x:v>
      </x:c>
      <x:c r="N14" s="1" t="n">
        <x:f>IF(M14=0,0,1+COUNTIF($M$12:$M$28,"&gt;"&amp;M14)+COUNTIFS($M$12:$M$28,M14,$K$12:$K$28,"&gt;"&amp;K14)+COUNTIFS($M$12:$M$28,M14,$K$12:$K$28,K14,$A$12:$A$28,"&lt;"&amp;A14))</x:f>
        <x:v>5</x:v>
      </x:c>
    </x:row>
    <x:row r="15" ht="21" customHeight="1">
      <x:c r="A15" s="1" t="n">
        <x:v>4</x:v>
      </x:c>
      <x:c r="B15" s="11" t="n">
        <x:f>Historico!K13</x:f>
        <x:v>90.83333333333333</x:v>
      </x:c>
      <x:c r="C15" s="11" t="n">
        <x:f>SUMIFS(Estoque!$D$5:$D$23,Estoque!$B$5:$B$23,A15,Estoque!$C$5:$C$23,66)</x:f>
        <x:v>0</x:v>
      </x:c>
      <x:c r="D15" s="11" t="n">
        <x:f>0</x:f>
        <x:v>0</x:v>
      </x:c>
      <x:c r="E15" s="11" t="n">
        <x:f>0</x:f>
        <x:v>0</x:v>
      </x:c>
      <x:c r="F15" s="11" t="n">
        <x:f>0</x:f>
        <x:v>0</x:v>
      </x:c>
      <x:c r="G15" s="11" t="n">
        <x:f>MAX(0,C15-F15)</x:f>
        <x:v>0</x:v>
      </x:c>
      <x:c r="H15" s="11" t="n">
        <x:f>MIN(G15,MAX(0,B15*D15/Conferencia!$B$6-E15))</x:f>
        <x:v>0</x:v>
      </x:c>
      <x:c r="I15" s="11" t="n">
        <x:f>B15*$F$5/Conferencia!$B$6</x:f>
        <x:v>384.5277777777777</x:v>
      </x:c>
      <x:c r="J15" s="11" t="n">
        <x:f>E15+IF(D15&lt;=$F$5,H15,0)</x:f>
        <x:v>0</x:v>
      </x:c>
      <x:c r="K15" s="11" t="n">
        <x:f>MAX(0,I15-J15)</x:f>
        <x:v>384.5277777777777</x:v>
      </x:c>
      <x:c r="L15" s="11" t="n">
        <x:f>IF(D15&gt;$F$5,MIN(K15,MAX(0,B15*D15/Conferencia!$B$6-E15-H15)),K15)</x:f>
        <x:v>384.5277777777777</x:v>
      </x:c>
      <x:c r="M15" s="1" t="n">
        <x:f>IF(OR(A15=$C$5,$F$5&lt;=0),0,MAX(0,INT(MIN($J$5,L15)+Conferencia!$B$7)))</x:f>
        <x:v>14</x:v>
      </x:c>
      <x:c r="N15" s="1" t="n">
        <x:f>IF(M15=0,0,1+COUNTIF($M$12:$M$28,"&gt;"&amp;M15)+COUNTIFS($M$12:$M$28,M15,$K$12:$K$28,"&gt;"&amp;K15)+COUNTIFS($M$12:$M$28,M15,$K$12:$K$28,K15,$A$12:$A$28,"&lt;"&amp;A15))</x:f>
        <x:v>3</x:v>
      </x:c>
    </x:row>
    <x:row r="16" ht="21" customHeight="1">
      <x:c r="A16" s="1" t="n">
        <x:v>5</x:v>
      </x:c>
      <x:c r="B16" s="11" t="n">
        <x:f>Historico!K14</x:f>
        <x:v>33.5</x:v>
      </x:c>
      <x:c r="C16" s="11" t="n">
        <x:f>SUMIFS(Estoque!$D$5:$D$23,Estoque!$B$5:$B$23,A16,Estoque!$C$5:$C$23,66)</x:f>
        <x:v>0</x:v>
      </x:c>
      <x:c r="D16" s="11" t="n">
        <x:f>0</x:f>
        <x:v>0</x:v>
      </x:c>
      <x:c r="E16" s="11" t="n">
        <x:f>0</x:f>
        <x:v>0</x:v>
      </x:c>
      <x:c r="F16" s="11" t="n">
        <x:f>0</x:f>
        <x:v>0</x:v>
      </x:c>
      <x:c r="G16" s="11" t="n">
        <x:f>MAX(0,C16-F16)</x:f>
        <x:v>0</x:v>
      </x:c>
      <x:c r="H16" s="11" t="n">
        <x:f>MIN(G16,MAX(0,B16*D16/Conferencia!$B$6-E16))</x:f>
        <x:v>0</x:v>
      </x:c>
      <x:c r="I16" s="11" t="n">
        <x:f>B16*$F$5/Conferencia!$B$6</x:f>
        <x:v>141.81666666666666</x:v>
      </x:c>
      <x:c r="J16" s="11" t="n">
        <x:f>E16+IF(D16&lt;=$F$5,H16,0)</x:f>
        <x:v>0</x:v>
      </x:c>
      <x:c r="K16" s="11" t="n">
        <x:f>MAX(0,I16-J16)</x:f>
        <x:v>141.81666666666666</x:v>
      </x:c>
      <x:c r="L16" s="11" t="n">
        <x:f>IF(D16&gt;$F$5,MIN(K16,MAX(0,B16*D16/Conferencia!$B$6-E16-H16)),K16)</x:f>
        <x:v>141.81666666666666</x:v>
      </x:c>
      <x:c r="M16" s="1" t="n">
        <x:f>IF(OR(A16=$C$5,$F$5&lt;=0),0,MAX(0,INT(MIN($J$5,L16)+Conferencia!$B$7)))</x:f>
        <x:v>14</x:v>
      </x:c>
      <x:c r="N16" s="1" t="n">
        <x:f>IF(M16=0,0,1+COUNTIF($M$12:$M$28,"&gt;"&amp;M16)+COUNTIFS($M$12:$M$28,M16,$K$12:$K$28,"&gt;"&amp;K16)+COUNTIFS($M$12:$M$28,M16,$K$12:$K$28,K16,$A$12:$A$28,"&lt;"&amp;A16))</x:f>
        <x:v>12</x:v>
      </x:c>
    </x:row>
    <x:row r="17" ht="21" customHeight="1">
      <x:c r="A17" s="1" t="n">
        <x:v>6</x:v>
      </x:c>
      <x:c r="B17" s="11" t="n">
        <x:f>Historico!K15</x:f>
        <x:v>121</x:v>
      </x:c>
      <x:c r="C17" s="11" t="n">
        <x:f>SUMIFS(Estoque!$D$5:$D$23,Estoque!$B$5:$B$23,A17,Estoque!$C$5:$C$23,66)</x:f>
        <x:v>0</x:v>
      </x:c>
      <x:c r="D17" s="11" t="n">
        <x:f>0</x:f>
        <x:v>0</x:v>
      </x:c>
      <x:c r="E17" s="11" t="n">
        <x:f>0</x:f>
        <x:v>0</x:v>
      </x:c>
      <x:c r="F17" s="11" t="n">
        <x:f>0</x:f>
        <x:v>0</x:v>
      </x:c>
      <x:c r="G17" s="11" t="n">
        <x:f>MAX(0,C17-F17)</x:f>
        <x:v>0</x:v>
      </x:c>
      <x:c r="H17" s="11" t="n">
        <x:f>MIN(G17,MAX(0,B17*D17/Conferencia!$B$6-E17))</x:f>
        <x:v>0</x:v>
      </x:c>
      <x:c r="I17" s="11" t="n">
        <x:f>B17*$F$5/Conferencia!$B$6</x:f>
        <x:v>512.2333333333333</x:v>
      </x:c>
      <x:c r="J17" s="11" t="n">
        <x:f>E17+IF(D17&lt;=$F$5,H17,0)</x:f>
        <x:v>0</x:v>
      </x:c>
      <x:c r="K17" s="11" t="n">
        <x:f>MAX(0,I17-J17)</x:f>
        <x:v>512.2333333333333</x:v>
      </x:c>
      <x:c r="L17" s="11" t="n">
        <x:f>IF(D17&gt;$F$5,MIN(K17,MAX(0,B17*D17/Conferencia!$B$6-E17-H17)),K17)</x:f>
        <x:v>512.2333333333333</x:v>
      </x:c>
      <x:c r="M17" s="1" t="n">
        <x:f>IF(OR(A17=$C$5,$F$5&lt;=0),0,MAX(0,INT(MIN($J$5,L17)+Conferencia!$B$7)))</x:f>
        <x:v>14</x:v>
      </x:c>
      <x:c r="N17" s="1" t="n">
        <x:f>IF(M17=0,0,1+COUNTIF($M$12:$M$28,"&gt;"&amp;M17)+COUNTIFS($M$12:$M$28,M17,$K$12:$K$28,"&gt;"&amp;K17)+COUNTIFS($M$12:$M$28,M17,$K$12:$K$28,K17,$A$12:$A$28,"&lt;"&amp;A17))</x:f>
        <x:v>1</x:v>
      </x:c>
    </x:row>
    <x:row r="18" ht="21" customHeight="1">
      <x:c r="A18" s="1" t="n">
        <x:v>7</x:v>
      </x:c>
      <x:c r="B18" s="11" t="n">
        <x:f>Historico!K16</x:f>
        <x:v>38.333333333333336</x:v>
      </x:c>
      <x:c r="C18" s="11" t="n">
        <x:f>SUMIFS(Estoque!$D$5:$D$23,Estoque!$B$5:$B$23,A18,Estoque!$C$5:$C$23,66)</x:f>
        <x:v>250</x:v>
      </x:c>
      <x:c r="D18" s="11" t="n">
        <x:f>Lotes!F18</x:f>
        <x:v>439</x:v>
      </x:c>
      <x:c r="E18" s="11" t="n">
        <x:f>0</x:f>
        <x:v>0</x:v>
      </x:c>
      <x:c r="F18" s="11" t="n">
        <x:f>0</x:f>
        <x:v>0</x:v>
      </x:c>
      <x:c r="G18" s="11" t="n">
        <x:f>MAX(0,C18-F18)</x:f>
        <x:v>250</x:v>
      </x:c>
      <x:c r="H18" s="11" t="n">
        <x:f>MIN(G18,MAX(0,B18*D18/Conferencia!$B$6-E18))</x:f>
        <x:v>250</x:v>
      </x:c>
      <x:c r="I18" s="11" t="n">
        <x:f>B18*$F$5/Conferencia!$B$6</x:f>
        <x:v>162.2777777777778</x:v>
      </x:c>
      <x:c r="J18" s="11" t="n">
        <x:f>E18+IF(D18&lt;=$F$5,H18,0)</x:f>
        <x:v>0</x:v>
      </x:c>
      <x:c r="K18" s="11" t="n">
        <x:f>MAX(0,I18-J18)</x:f>
        <x:v>162.2777777777778</x:v>
      </x:c>
      <x:c r="L18" s="11" t="n">
        <x:f>IF(D18&gt;$F$5,MIN(K18,MAX(0,B18*D18/Conferencia!$B$6-E18-H18)),K18)</x:f>
        <x:v>162.2777777777778</x:v>
      </x:c>
      <x:c r="M18" s="1" t="n">
        <x:f>IF(OR(A18=$C$5,$F$5&lt;=0),0,MAX(0,INT(MIN($J$5,L18)+Conferencia!$B$7)))</x:f>
        <x:v>14</x:v>
      </x:c>
      <x:c r="N18" s="1" t="n">
        <x:f>IF(M18=0,0,1+COUNTIF($M$12:$M$28,"&gt;"&amp;M18)+COUNTIFS($M$12:$M$28,M18,$K$12:$K$28,"&gt;"&amp;K18)+COUNTIFS($M$12:$M$28,M18,$K$12:$K$28,K18,$A$12:$A$28,"&lt;"&amp;A18))</x:f>
        <x:v>11</x:v>
      </x:c>
    </x:row>
    <x:row r="19" ht="21" customHeight="1">
      <x:c r="A19" s="1" t="n">
        <x:v>8</x:v>
      </x:c>
      <x:c r="B19" s="11" t="n">
        <x:f>Historico!K17</x:f>
        <x:v>74.33333333333333</x:v>
      </x:c>
      <x:c r="C19" s="11" t="n">
        <x:f>SUMIFS(Estoque!$D$5:$D$23,Estoque!$B$5:$B$23,A19,Estoque!$C$5:$C$23,66)</x:f>
        <x:v>0</x:v>
      </x:c>
      <x:c r="D19" s="11" t="n">
        <x:f>0</x:f>
        <x:v>0</x:v>
      </x:c>
      <x:c r="E19" s="11" t="n">
        <x:f>0</x:f>
        <x:v>0</x:v>
      </x:c>
      <x:c r="F19" s="11" t="n">
        <x:f>0</x:f>
        <x:v>0</x:v>
      </x:c>
      <x:c r="G19" s="11" t="n">
        <x:f>MAX(0,C19-F19)</x:f>
        <x:v>0</x:v>
      </x:c>
      <x:c r="H19" s="11" t="n">
        <x:f>MIN(G19,MAX(0,B19*D19/Conferencia!$B$6-E19))</x:f>
        <x:v>0</x:v>
      </x:c>
      <x:c r="I19" s="11" t="n">
        <x:f>B19*$F$5/Conferencia!$B$6</x:f>
        <x:v>314.67777777777775</x:v>
      </x:c>
      <x:c r="J19" s="11" t="n">
        <x:f>E19+IF(D19&lt;=$F$5,H19,0)</x:f>
        <x:v>0</x:v>
      </x:c>
      <x:c r="K19" s="11" t="n">
        <x:f>MAX(0,I19-J19)</x:f>
        <x:v>314.67777777777775</x:v>
      </x:c>
      <x:c r="L19" s="11" t="n">
        <x:f>IF(D19&gt;$F$5,MIN(K19,MAX(0,B19*D19/Conferencia!$B$6-E19-H19)),K19)</x:f>
        <x:v>314.67777777777775</x:v>
      </x:c>
      <x:c r="M19" s="1" t="n">
        <x:f>IF(OR(A19=$C$5,$F$5&lt;=0),0,MAX(0,INT(MIN($J$5,L19)+Conferencia!$B$7)))</x:f>
        <x:v>14</x:v>
      </x:c>
      <x:c r="N19" s="1" t="n">
        <x:f>IF(M19=0,0,1+COUNTIF($M$12:$M$28,"&gt;"&amp;M19)+COUNTIFS($M$12:$M$28,M19,$K$12:$K$28,"&gt;"&amp;K19)+COUNTIFS($M$12:$M$28,M19,$K$12:$K$28,K19,$A$12:$A$28,"&lt;"&amp;A19))</x:f>
        <x:v>6</x:v>
      </x:c>
    </x:row>
    <x:row r="20" ht="21" customHeight="1">
      <x:c r="A20" s="1" t="n">
        <x:v>9</x:v>
      </x:c>
      <x:c r="B20" s="11" t="n">
        <x:f>Historico!K18</x:f>
        <x:v>0</x:v>
      </x:c>
      <x:c r="C20" s="11" t="n">
        <x:f>SUMIFS(Estoque!$D$5:$D$23,Estoque!$B$5:$B$23,A20,Estoque!$C$5:$C$23,66)</x:f>
        <x:v>0</x:v>
      </x:c>
      <x:c r="D20" s="11" t="n">
        <x:f>0</x:f>
        <x:v>0</x:v>
      </x:c>
      <x:c r="E20" s="11" t="n">
        <x:f>0</x:f>
        <x:v>0</x:v>
      </x:c>
      <x:c r="F20" s="11" t="n">
        <x:f>0</x:f>
        <x:v>0</x:v>
      </x:c>
      <x:c r="G20" s="11" t="n">
        <x:f>MAX(0,C20-F20)</x:f>
        <x:v>0</x:v>
      </x:c>
      <x:c r="H20" s="11" t="n">
        <x:f>MIN(G20,MAX(0,B20*D20/Conferencia!$B$6-E20))</x:f>
        <x:v>0</x:v>
      </x:c>
      <x:c r="I20" s="11" t="n">
        <x:f>B20*$F$5/Conferencia!$B$6</x:f>
        <x:v>0</x:v>
      </x:c>
      <x:c r="J20" s="11" t="n">
        <x:f>E20+IF(D20&lt;=$F$5,H20,0)</x:f>
        <x:v>0</x:v>
      </x:c>
      <x:c r="K20" s="11" t="n">
        <x:f>MAX(0,I20-J20)</x:f>
        <x:v>0</x:v>
      </x:c>
      <x:c r="L20" s="11" t="n">
        <x:f>IF(D20&gt;$F$5,MIN(K20,MAX(0,B20*D20/Conferencia!$B$6-E20-H20)),K20)</x:f>
        <x:v>0</x:v>
      </x:c>
      <x:c r="M20" s="1" t="n">
        <x:f>IF(OR(A20=$C$5,$F$5&lt;=0),0,MAX(0,INT(MIN($J$5,L20)+Conferencia!$B$7)))</x:f>
        <x:v>0</x:v>
      </x:c>
      <x:c r="N20" s="1" t="n">
        <x:f>IF(M20=0,0,1+COUNTIF($M$12:$M$28,"&gt;"&amp;M20)+COUNTIFS($M$12:$M$28,M20,$K$12:$K$28,"&gt;"&amp;K20)+COUNTIFS($M$12:$M$28,M20,$K$12:$K$28,K20,$A$12:$A$28,"&lt;"&amp;A20))</x:f>
        <x:v>0</x:v>
      </x:c>
    </x:row>
    <x:row r="21" ht="21" customHeight="1">
      <x:c r="A21" s="1" t="n">
        <x:v>10</x:v>
      </x:c>
      <x:c r="B21" s="11" t="n">
        <x:f>Historico!K19</x:f>
        <x:v>40</x:v>
      </x:c>
      <x:c r="C21" s="11" t="n">
        <x:f>SUMIFS(Estoque!$D$5:$D$23,Estoque!$B$5:$B$23,A21,Estoque!$C$5:$C$23,66)</x:f>
        <x:v>0</x:v>
      </x:c>
      <x:c r="D21" s="11" t="n">
        <x:f>0</x:f>
        <x:v>0</x:v>
      </x:c>
      <x:c r="E21" s="11" t="n">
        <x:f>0</x:f>
        <x:v>0</x:v>
      </x:c>
      <x:c r="F21" s="11" t="n">
        <x:f>0</x:f>
        <x:v>0</x:v>
      </x:c>
      <x:c r="G21" s="11" t="n">
        <x:f>MAX(0,C21-F21)</x:f>
        <x:v>0</x:v>
      </x:c>
      <x:c r="H21" s="11" t="n">
        <x:f>MIN(G21,MAX(0,B21*D21/Conferencia!$B$6-E21))</x:f>
        <x:v>0</x:v>
      </x:c>
      <x:c r="I21" s="11" t="n">
        <x:f>B21*$F$5/Conferencia!$B$6</x:f>
        <x:v>169.33333333333334</x:v>
      </x:c>
      <x:c r="J21" s="11" t="n">
        <x:f>E21+IF(D21&lt;=$F$5,H21,0)</x:f>
        <x:v>0</x:v>
      </x:c>
      <x:c r="K21" s="11" t="n">
        <x:f>MAX(0,I21-J21)</x:f>
        <x:v>169.33333333333334</x:v>
      </x:c>
      <x:c r="L21" s="11" t="n">
        <x:f>IF(D21&gt;$F$5,MIN(K21,MAX(0,B21*D21/Conferencia!$B$6-E21-H21)),K21)</x:f>
        <x:v>169.33333333333334</x:v>
      </x:c>
      <x:c r="M21" s="1" t="n">
        <x:f>IF(OR(A21=$C$5,$F$5&lt;=0),0,MAX(0,INT(MIN($J$5,L21)+Conferencia!$B$7)))</x:f>
        <x:v>14</x:v>
      </x:c>
      <x:c r="N21" s="1" t="n">
        <x:f>IF(M21=0,0,1+COUNTIF($M$12:$M$28,"&gt;"&amp;M21)+COUNTIFS($M$12:$M$28,M21,$K$12:$K$28,"&gt;"&amp;K21)+COUNTIFS($M$12:$M$28,M21,$K$12:$K$28,K21,$A$12:$A$28,"&lt;"&amp;A21))</x:f>
        <x:v>9</x:v>
      </x:c>
    </x:row>
    <x:row r="22" ht="21" customHeight="1">
      <x:c r="A22" s="1" t="n">
        <x:v>11</x:v>
      </x:c>
      <x:c r="B22" s="11" t="n">
        <x:f>Historico!K20</x:f>
        <x:v>0</x:v>
      </x:c>
      <x:c r="C22" s="11" t="n">
        <x:f>SUMIFS(Estoque!$D$5:$D$23,Estoque!$B$5:$B$23,A22,Estoque!$C$5:$C$23,66)</x:f>
        <x:v>14</x:v>
      </x:c>
      <x:c r="D22" s="11" t="n">
        <x:f>Lotes!F19</x:f>
        <x:v>127</x:v>
      </x:c>
      <x:c r="E22" s="11" t="n">
        <x:f>0</x:f>
        <x:v>0</x:v>
      </x:c>
      <x:c r="F22" s="11" t="n">
        <x:f>0</x:f>
        <x:v>0</x:v>
      </x:c>
      <x:c r="G22" s="11" t="n">
        <x:f>MAX(0,C22-F22)</x:f>
        <x:v>14</x:v>
      </x:c>
      <x:c r="H22" s="11" t="n">
        <x:f>MIN(G22,MAX(0,B22*D22/Conferencia!$B$6-E22))</x:f>
        <x:v>0</x:v>
      </x:c>
      <x:c r="I22" s="11" t="n">
        <x:f>B22*$F$5/Conferencia!$B$6</x:f>
        <x:v>0</x:v>
      </x:c>
      <x:c r="J22" s="11" t="n">
        <x:f>E22+IF(D22&lt;=$F$5,H22,0)</x:f>
        <x:v>0</x:v>
      </x:c>
      <x:c r="K22" s="11" t="n">
        <x:f>MAX(0,I22-J22)</x:f>
        <x:v>0</x:v>
      </x:c>
      <x:c r="L22" s="11" t="n">
        <x:f>IF(D22&gt;$F$5,MIN(K22,MAX(0,B22*D22/Conferencia!$B$6-E22-H22)),K22)</x:f>
        <x:v>0</x:v>
      </x:c>
      <x:c r="M22" s="1" t="n">
        <x:f>IF(OR(A22=$C$5,$F$5&lt;=0),0,MAX(0,INT(MIN($J$5,L22)+Conferencia!$B$7)))</x:f>
        <x:v>0</x:v>
      </x:c>
      <x:c r="N22" s="1" t="n">
        <x:f>IF(M22=0,0,1+COUNTIF($M$12:$M$28,"&gt;"&amp;M22)+COUNTIFS($M$12:$M$28,M22,$K$12:$K$28,"&gt;"&amp;K22)+COUNTIFS($M$12:$M$28,M22,$K$12:$K$28,K22,$A$12:$A$28,"&lt;"&amp;A22))</x:f>
        <x:v>0</x:v>
      </x:c>
    </x:row>
    <x:row r="23" ht="21" customHeight="1">
      <x:c r="A23" s="1" t="n">
        <x:v>12</x:v>
      </x:c>
      <x:c r="B23" s="11" t="n">
        <x:f>Historico!K21</x:f>
        <x:v>39.833333333333336</x:v>
      </x:c>
      <x:c r="C23" s="11" t="n">
        <x:f>SUMIFS(Estoque!$D$5:$D$23,Estoque!$B$5:$B$23,A23,Estoque!$C$5:$C$23,66)</x:f>
        <x:v>0</x:v>
      </x:c>
      <x:c r="D23" s="11" t="n">
        <x:f>0</x:f>
        <x:v>0</x:v>
      </x:c>
      <x:c r="E23" s="11" t="n">
        <x:f>0</x:f>
        <x:v>0</x:v>
      </x:c>
      <x:c r="F23" s="11" t="n">
        <x:f>0</x:f>
        <x:v>0</x:v>
      </x:c>
      <x:c r="G23" s="11" t="n">
        <x:f>MAX(0,C23-F23)</x:f>
        <x:v>0</x:v>
      </x:c>
      <x:c r="H23" s="11" t="n">
        <x:f>MIN(G23,MAX(0,B23*D23/Conferencia!$B$6-E23))</x:f>
        <x:v>0</x:v>
      </x:c>
      <x:c r="I23" s="11" t="n">
        <x:f>B23*$F$5/Conferencia!$B$6</x:f>
        <x:v>168.6277777777778</x:v>
      </x:c>
      <x:c r="J23" s="11" t="n">
        <x:f>E23+IF(D23&lt;=$F$5,H23,0)</x:f>
        <x:v>0</x:v>
      </x:c>
      <x:c r="K23" s="11" t="n">
        <x:f>MAX(0,I23-J23)</x:f>
        <x:v>168.6277777777778</x:v>
      </x:c>
      <x:c r="L23" s="11" t="n">
        <x:f>IF(D23&gt;$F$5,MIN(K23,MAX(0,B23*D23/Conferencia!$B$6-E23-H23)),K23)</x:f>
        <x:v>168.6277777777778</x:v>
      </x:c>
      <x:c r="M23" s="1" t="n">
        <x:f>IF(OR(A23=$C$5,$F$5&lt;=0),0,MAX(0,INT(MIN($J$5,L23)+Conferencia!$B$7)))</x:f>
        <x:v>14</x:v>
      </x:c>
      <x:c r="N23" s="1" t="n">
        <x:f>IF(M23=0,0,1+COUNTIF($M$12:$M$28,"&gt;"&amp;M23)+COUNTIFS($M$12:$M$28,M23,$K$12:$K$28,"&gt;"&amp;K23)+COUNTIFS($M$12:$M$28,M23,$K$12:$K$28,K23,$A$12:$A$28,"&lt;"&amp;A23))</x:f>
        <x:v>10</x:v>
      </x:c>
    </x:row>
    <x:row r="24" ht="21" customHeight="1">
      <x:c r="A24" s="1" t="n">
        <x:v>13</x:v>
      </x:c>
      <x:c r="B24" s="11" t="n">
        <x:f>Historico!K23</x:f>
        <x:v>22.5</x:v>
      </x:c>
      <x:c r="C24" s="11" t="n">
        <x:f>SUMIFS(Estoque!$D$5:$D$23,Estoque!$B$5:$B$23,A24,Estoque!$C$5:$C$23,66)</x:f>
        <x:v>0</x:v>
      </x:c>
      <x:c r="D24" s="11" t="n">
        <x:f>0</x:f>
        <x:v>0</x:v>
      </x:c>
      <x:c r="E24" s="11" t="n">
        <x:f>0</x:f>
        <x:v>0</x:v>
      </x:c>
      <x:c r="F24" s="11" t="n">
        <x:f>0</x:f>
        <x:v>0</x:v>
      </x:c>
      <x:c r="G24" s="11" t="n">
        <x:f>MAX(0,C24-F24)</x:f>
        <x:v>0</x:v>
      </x:c>
      <x:c r="H24" s="11" t="n">
        <x:f>MIN(G24,MAX(0,B24*D24/Conferencia!$B$6-E24))</x:f>
        <x:v>0</x:v>
      </x:c>
      <x:c r="I24" s="11" t="n">
        <x:f>B24*$F$5/Conferencia!$B$6</x:f>
        <x:v>95.25</x:v>
      </x:c>
      <x:c r="J24" s="11" t="n">
        <x:f>E24+IF(D24&lt;=$F$5,H24,0)</x:f>
        <x:v>0</x:v>
      </x:c>
      <x:c r="K24" s="11" t="n">
        <x:f>MAX(0,I24-J24)</x:f>
        <x:v>95.25</x:v>
      </x:c>
      <x:c r="L24" s="11" t="n">
        <x:f>IF(D24&gt;$F$5,MIN(K24,MAX(0,B24*D24/Conferencia!$B$6-E24-H24)),K24)</x:f>
        <x:v>95.25</x:v>
      </x:c>
      <x:c r="M24" s="1" t="n">
        <x:f>IF(OR(A24=$C$5,$F$5&lt;=0),0,MAX(0,INT(MIN($J$5,L24)+Conferencia!$B$7)))</x:f>
        <x:v>14</x:v>
      </x:c>
      <x:c r="N24" s="1" t="n">
        <x:f>IF(M24=0,0,1+COUNTIF($M$12:$M$28,"&gt;"&amp;M24)+COUNTIFS($M$12:$M$28,M24,$K$12:$K$28,"&gt;"&amp;K24)+COUNTIFS($M$12:$M$28,M24,$K$12:$K$28,K24,$A$12:$A$28,"&lt;"&amp;A24))</x:f>
        <x:v>13</x:v>
      </x:c>
    </x:row>
    <x:row r="25" ht="21" customHeight="1">
      <x:c r="A25" s="1" t="n">
        <x:v>14</x:v>
      </x:c>
      <x:c r="B25" s="11" t="n">
        <x:f>Historico!K24</x:f>
        <x:v>0</x:v>
      </x:c>
      <x:c r="C25" s="11" t="n">
        <x:f>SUMIFS(Estoque!$D$5:$D$23,Estoque!$B$5:$B$23,A25,Estoque!$C$5:$C$23,66)</x:f>
        <x:v>0</x:v>
      </x:c>
      <x:c r="D25" s="11" t="n">
        <x:f>0</x:f>
        <x:v>0</x:v>
      </x:c>
      <x:c r="E25" s="11" t="n">
        <x:f>0</x:f>
        <x:v>0</x:v>
      </x:c>
      <x:c r="F25" s="11" t="n">
        <x:f>0</x:f>
        <x:v>0</x:v>
      </x:c>
      <x:c r="G25" s="11" t="n">
        <x:f>MAX(0,C25-F25)</x:f>
        <x:v>0</x:v>
      </x:c>
      <x:c r="H25" s="11" t="n">
        <x:f>MIN(G25,MAX(0,B25*D25/Conferencia!$B$6-E25))</x:f>
        <x:v>0</x:v>
      </x:c>
      <x:c r="I25" s="11" t="n">
        <x:f>B25*$F$5/Conferencia!$B$6</x:f>
        <x:v>0</x:v>
      </x:c>
      <x:c r="J25" s="11" t="n">
        <x:f>E25+IF(D25&lt;=$F$5,H25,0)</x:f>
        <x:v>0</x:v>
      </x:c>
      <x:c r="K25" s="11" t="n">
        <x:f>MAX(0,I25-J25)</x:f>
        <x:v>0</x:v>
      </x:c>
      <x:c r="L25" s="11" t="n">
        <x:f>IF(D25&gt;$F$5,MIN(K25,MAX(0,B25*D25/Conferencia!$B$6-E25-H25)),K25)</x:f>
        <x:v>0</x:v>
      </x:c>
      <x:c r="M25" s="1" t="n">
        <x:f>IF(OR(A25=$C$5,$F$5&lt;=0),0,MAX(0,INT(MIN($J$5,L25)+Conferencia!$B$7)))</x:f>
        <x:v>0</x:v>
      </x:c>
      <x:c r="N25" s="1" t="n">
        <x:f>IF(M25=0,0,1+COUNTIF($M$12:$M$28,"&gt;"&amp;M25)+COUNTIFS($M$12:$M$28,M25,$K$12:$K$28,"&gt;"&amp;K25)+COUNTIFS($M$12:$M$28,M25,$K$12:$K$28,K25,$A$12:$A$28,"&lt;"&amp;A25))</x:f>
        <x:v>0</x:v>
      </x:c>
    </x:row>
    <x:row r="26" ht="21" customHeight="1">
      <x:c r="A26" s="1" t="n">
        <x:v>15</x:v>
      </x:c>
      <x:c r="B26" s="11" t="n">
        <x:f>Historico!K25</x:f>
        <x:v>42</x:v>
      </x:c>
      <x:c r="C26" s="11" t="n">
        <x:f>SUMIFS(Estoque!$D$5:$D$23,Estoque!$B$5:$B$23,A26,Estoque!$C$5:$C$23,66)</x:f>
        <x:v>0</x:v>
      </x:c>
      <x:c r="D26" s="11" t="n">
        <x:f>0</x:f>
        <x:v>0</x:v>
      </x:c>
      <x:c r="E26" s="11" t="n">
        <x:f>0</x:f>
        <x:v>0</x:v>
      </x:c>
      <x:c r="F26" s="11" t="n">
        <x:f>0</x:f>
        <x:v>0</x:v>
      </x:c>
      <x:c r="G26" s="11" t="n">
        <x:f>MAX(0,C26-F26)</x:f>
        <x:v>0</x:v>
      </x:c>
      <x:c r="H26" s="11" t="n">
        <x:f>MIN(G26,MAX(0,B26*D26/Conferencia!$B$6-E26))</x:f>
        <x:v>0</x:v>
      </x:c>
      <x:c r="I26" s="11" t="n">
        <x:f>B26*$F$5/Conferencia!$B$6</x:f>
        <x:v>177.8</x:v>
      </x:c>
      <x:c r="J26" s="11" t="n">
        <x:f>E26+IF(D26&lt;=$F$5,H26,0)</x:f>
        <x:v>0</x:v>
      </x:c>
      <x:c r="K26" s="11" t="n">
        <x:f>MAX(0,I26-J26)</x:f>
        <x:v>177.8</x:v>
      </x:c>
      <x:c r="L26" s="11" t="n">
        <x:f>IF(D26&gt;$F$5,MIN(K26,MAX(0,B26*D26/Conferencia!$B$6-E26-H26)),K26)</x:f>
        <x:v>177.8</x:v>
      </x:c>
      <x:c r="M26" s="1" t="n">
        <x:f>IF(OR(A26=$C$5,$F$5&lt;=0),0,MAX(0,INT(MIN($J$5,L26)+Conferencia!$B$7)))</x:f>
        <x:v>14</x:v>
      </x:c>
      <x:c r="N26" s="1" t="n">
        <x:f>IF(M26=0,0,1+COUNTIF($M$12:$M$28,"&gt;"&amp;M26)+COUNTIFS($M$12:$M$28,M26,$K$12:$K$28,"&gt;"&amp;K26)+COUNTIFS($M$12:$M$28,M26,$K$12:$K$28,K26,$A$12:$A$28,"&lt;"&amp;A26))</x:f>
        <x:v>8</x:v>
      </x:c>
    </x:row>
    <x:row r="27" ht="21" customHeight="1">
      <x:c r="A27" s="1" t="n">
        <x:v>16</x:v>
      </x:c>
      <x:c r="B27" s="11" t="n">
        <x:f>Historico!K26</x:f>
        <x:v>50.833333333333336</x:v>
      </x:c>
      <x:c r="C27" s="11" t="n">
        <x:f>SUMIFS(Estoque!$D$5:$D$23,Estoque!$B$5:$B$23,A27,Estoque!$C$5:$C$23,66)</x:f>
        <x:v>0</x:v>
      </x:c>
      <x:c r="D27" s="11" t="n">
        <x:f>0</x:f>
        <x:v>0</x:v>
      </x:c>
      <x:c r="E27" s="11" t="n">
        <x:f>0</x:f>
        <x:v>0</x:v>
      </x:c>
      <x:c r="F27" s="11" t="n">
        <x:f>0</x:f>
        <x:v>0</x:v>
      </x:c>
      <x:c r="G27" s="11" t="n">
        <x:f>MAX(0,C27-F27)</x:f>
        <x:v>0</x:v>
      </x:c>
      <x:c r="H27" s="11" t="n">
        <x:f>MIN(G27,MAX(0,B27*D27/Conferencia!$B$6-E27))</x:f>
        <x:v>0</x:v>
      </x:c>
      <x:c r="I27" s="11" t="n">
        <x:f>B27*$F$5/Conferencia!$B$6</x:f>
        <x:v>215.19444444444446</x:v>
      </x:c>
      <x:c r="J27" s="11" t="n">
        <x:f>E27+IF(D27&lt;=$F$5,H27,0)</x:f>
        <x:v>0</x:v>
      </x:c>
      <x:c r="K27" s="11" t="n">
        <x:f>MAX(0,I27-J27)</x:f>
        <x:v>215.19444444444446</x:v>
      </x:c>
      <x:c r="L27" s="11" t="n">
        <x:f>IF(D27&gt;$F$5,MIN(K27,MAX(0,B27*D27/Conferencia!$B$6-E27-H27)),K27)</x:f>
        <x:v>215.19444444444446</x:v>
      </x:c>
      <x:c r="M27" s="1" t="n">
        <x:f>IF(OR(A27=$C$5,$F$5&lt;=0),0,MAX(0,INT(MIN($J$5,L27)+Conferencia!$B$7)))</x:f>
        <x:v>14</x:v>
      </x:c>
      <x:c r="N27" s="1" t="n">
        <x:f>IF(M27=0,0,1+COUNTIF($M$12:$M$28,"&gt;"&amp;M27)+COUNTIFS($M$12:$M$28,M27,$K$12:$K$28,"&gt;"&amp;K27)+COUNTIFS($M$12:$M$28,M27,$K$12:$K$28,K27,$A$12:$A$28,"&lt;"&amp;A27))</x:f>
        <x:v>7</x:v>
      </x:c>
    </x:row>
    <x:row r="28" ht="21" customHeight="1">
      <x:c r="A28" s="1" t="n">
        <x:v>17</x:v>
      </x:c>
      <x:c r="B28" s="11" t="n">
        <x:f>Historico!K27</x:f>
        <x:v>0</x:v>
      </x:c>
      <x:c r="C28" s="11" t="n">
        <x:f>SUMIFS(Estoque!$D$5:$D$23,Estoque!$B$5:$B$23,A28,Estoque!$C$5:$C$23,66)</x:f>
        <x:v>0</x:v>
      </x:c>
      <x:c r="D28" s="11" t="n">
        <x:f>0</x:f>
        <x:v>0</x:v>
      </x:c>
      <x:c r="E28" s="11" t="n">
        <x:f>0</x:f>
        <x:v>0</x:v>
      </x:c>
      <x:c r="F28" s="11" t="n">
        <x:f>0</x:f>
        <x:v>0</x:v>
      </x:c>
      <x:c r="G28" s="11" t="n">
        <x:f>MAX(0,C28-F28)</x:f>
        <x:v>0</x:v>
      </x:c>
      <x:c r="H28" s="11" t="n">
        <x:f>MIN(G28,MAX(0,B28*D28/Conferencia!$B$6-E28))</x:f>
        <x:v>0</x:v>
      </x:c>
      <x:c r="I28" s="11" t="n">
        <x:f>B28*$F$5/Conferencia!$B$6</x:f>
        <x:v>0</x:v>
      </x:c>
      <x:c r="J28" s="11" t="n">
        <x:f>E28+IF(D28&lt;=$F$5,H28,0)</x:f>
        <x:v>0</x:v>
      </x:c>
      <x:c r="K28" s="11" t="n">
        <x:f>MAX(0,I28-J28)</x:f>
        <x:v>0</x:v>
      </x:c>
      <x:c r="L28" s="11" t="n">
        <x:f>IF(D28&gt;$F$5,MIN(K28,MAX(0,B28*D28/Conferencia!$B$6-E28-H28)),K28)</x:f>
        <x:v>0</x:v>
      </x:c>
      <x:c r="M28" s="1" t="n">
        <x:f>IF(OR(A28=$C$5,$F$5&lt;=0),0,MAX(0,INT(MIN($J$5,L28)+Conferencia!$B$7)))</x:f>
        <x:v>0</x:v>
      </x:c>
      <x:c r="N28" s="1" t="n">
        <x:f>IF(M28=0,0,1+COUNTIF($M$12:$M$28,"&gt;"&amp;M28)+COUNTIFS($M$12:$M$28,M28,$K$12:$K$28,"&gt;"&amp;K28)+COUNTIFS($M$12:$M$28,M28,$K$12:$K$28,K28,$A$12:$A$28,"&lt;"&amp;A28))</x:f>
        <x:v>0</x:v>
      </x:c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4" customHeight="1">
      <x:c r="A30" s="4" t="str">
        <x:v>Ordenação: maior admissível, maior capacidade livre e menor ID. Recebimentos anteriores entram na etapa 2.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36" customHeight="1">
      <x:c r="A33" s="7" t="str">
        <x:v>Destino</x:v>
      </x:c>
      <x:c r="B33" s="7" t="str">
        <x:v>CMM</x:v>
      </x:c>
      <x:c r="C33" s="7" t="str">
        <x:v>Estoque inicial</x:v>
      </x:c>
      <x:c r="D33" s="7" t="str">
        <x:v>Dias lote próprio</x:v>
      </x:c>
      <x:c r="E33" s="7" t="str">
        <x:v>Já recebido</x:v>
      </x:c>
      <x:c r="F33" s="7" t="str">
        <x:v>Já enviado</x:v>
      </x:c>
      <x:c r="G33" s="7" t="str">
        <x:v>Saldo próprio</x:v>
      </x:c>
      <x:c r="H33" s="7" t="str">
        <x:v>Uso próprio</x:v>
      </x:c>
      <x:c r="I33" s="7" t="str">
        <x:v>Cap. no prazo</x:v>
      </x:c>
      <x:c r="J33" s="7" t="str">
        <x:v>Uso prioritário</x:v>
      </x:c>
      <x:c r="K33" s="7" t="str">
        <x:v>Cap. livre</x:v>
      </x:c>
      <x:c r="L33" s="7" t="str">
        <x:v>Sem novo risco</x:v>
      </x:c>
      <x:c r="M33" s="7" t="str">
        <x:v>Admissível</x:v>
      </x:c>
      <x:c r="N33" s="7" t="str">
        <x:v>Posição</x:v>
      </x:c>
    </x:row>
    <x:row r="34" ht="21" customHeight="1">
      <x:c r="A34" s="1" t="n">
        <x:v>1</x:v>
      </x:c>
      <x:c r="B34" s="11" t="n">
        <x:f>Historico!K8</x:f>
        <x:v>91.16666666666667</x:v>
      </x:c>
      <x:c r="C34" s="11" t="n">
        <x:f>SUMIFS(Estoque!$D$5:$D$23,Estoque!$B$5:$B$23,A34,Estoque!$C$5:$C$23,66)</x:f>
        <x:v>0</x:v>
      </x:c>
      <x:c r="D34" s="11" t="n">
        <x:f>0</x:f>
        <x:v>0</x:v>
      </x:c>
      <x:c r="E34" s="11" t="n">
        <x:f>IF($K$5=A34,$L$5,0)</x:f>
        <x:v>0</x:v>
      </x:c>
      <x:c r="F34" s="11" t="n">
        <x:f>IF($C$5=A34,$L$5,0)</x:f>
        <x:v>0</x:v>
      </x:c>
      <x:c r="G34" s="11" t="n">
        <x:f>MAX(0,C34-F34)</x:f>
        <x:v>0</x:v>
      </x:c>
      <x:c r="H34" s="11" t="n">
        <x:f>MIN(G34,MAX(0,B34*D34/Conferencia!$B$6-E34))</x:f>
        <x:v>0</x:v>
      </x:c>
      <x:c r="I34" s="11" t="n">
        <x:f>B34*$F$6/Conferencia!$B$6</x:f>
        <x:v>1334.0722222222223</x:v>
      </x:c>
      <x:c r="J34" s="11" t="n">
        <x:f>E34+IF(D34&lt;=$F$6,H34,0)</x:f>
        <x:v>0</x:v>
      </x:c>
      <x:c r="K34" s="11" t="n">
        <x:f>MAX(0,I34-J34)</x:f>
        <x:v>1334.0722222222223</x:v>
      </x:c>
      <x:c r="L34" s="11" t="n">
        <x:f>IF(D34&gt;$F$6,MIN(K34,MAX(0,B34*D34/Conferencia!$B$6-E34-H34)),K34)</x:f>
        <x:v>1334.0722222222223</x:v>
      </x:c>
      <x:c r="M34" s="1" t="n">
        <x:f>IF(OR(A34=$C$6,$F$6&lt;=0),0,MAX(0,INT(MIN($J$6,L34)+Conferencia!$B$7)))</x:f>
        <x:v>0</x:v>
      </x:c>
      <x:c r="N34" s="1" t="n">
        <x:f>IF(M34=0,0,1+COUNTIF($M$34:$M$50,"&gt;"&amp;M34)+COUNTIFS($M$34:$M$50,M34,$K$34:$K$50,"&gt;"&amp;K34)+COUNTIFS($M$34:$M$50,M34,$K$34:$K$50,K34,$A$34:$A$50,"&lt;"&amp;A34))</x:f>
        <x:v>0</x:v>
      </x:c>
    </x:row>
    <x:row r="35" ht="21" customHeight="1">
      <x:c r="A35" s="1" t="n">
        <x:v>2</x:v>
      </x:c>
      <x:c r="B35" s="11" t="n">
        <x:f>Historico!K10</x:f>
        <x:v>82.33333333333333</x:v>
      </x:c>
      <x:c r="C35" s="11" t="n">
        <x:f>SUMIFS(Estoque!$D$5:$D$23,Estoque!$B$5:$B$23,A35,Estoque!$C$5:$C$23,66)</x:f>
        <x:v>0</x:v>
      </x:c>
      <x:c r="D35" s="11" t="n">
        <x:f>0</x:f>
        <x:v>0</x:v>
      </x:c>
      <x:c r="E35" s="11" t="n">
        <x:f>IF($K$5=A35,$L$5,0)</x:f>
        <x:v>0</x:v>
      </x:c>
      <x:c r="F35" s="11" t="n">
        <x:f>IF($C$5=A35,$L$5,0)</x:f>
        <x:v>0</x:v>
      </x:c>
      <x:c r="G35" s="11" t="n">
        <x:f>MAX(0,C35-F35)</x:f>
        <x:v>0</x:v>
      </x:c>
      <x:c r="H35" s="11" t="n">
        <x:f>MIN(G35,MAX(0,B35*D35/Conferencia!$B$6-E35))</x:f>
        <x:v>0</x:v>
      </x:c>
      <x:c r="I35" s="11" t="n">
        <x:f>B35*$F$6/Conferencia!$B$6</x:f>
        <x:v>1204.811111111111</x:v>
      </x:c>
      <x:c r="J35" s="11" t="n">
        <x:f>E35+IF(D35&lt;=$F$6,H35,0)</x:f>
        <x:v>0</x:v>
      </x:c>
      <x:c r="K35" s="11" t="n">
        <x:f>MAX(0,I35-J35)</x:f>
        <x:v>1204.811111111111</x:v>
      </x:c>
      <x:c r="L35" s="11" t="n">
        <x:f>IF(D35&gt;$F$6,MIN(K35,MAX(0,B35*D35/Conferencia!$B$6-E35-H35)),K35)</x:f>
        <x:v>1204.811111111111</x:v>
      </x:c>
      <x:c r="M35" s="1" t="n">
        <x:f>IF(OR(A35=$C$6,$F$6&lt;=0),0,MAX(0,INT(MIN($J$6,L35)+Conferencia!$B$7)))</x:f>
        <x:v>0</x:v>
      </x:c>
      <x:c r="N35" s="1" t="n">
        <x:f>IF(M35=0,0,1+COUNTIF($M$34:$M$50,"&gt;"&amp;M35)+COUNTIFS($M$34:$M$50,M35,$K$34:$K$50,"&gt;"&amp;K35)+COUNTIFS($M$34:$M$50,M35,$K$34:$K$50,K35,$A$34:$A$50,"&lt;"&amp;A35))</x:f>
        <x:v>0</x:v>
      </x:c>
    </x:row>
    <x:row r="36" ht="21" customHeight="1">
      <x:c r="A36" s="1" t="n">
        <x:v>3</x:v>
      </x:c>
      <x:c r="B36" s="11" t="n">
        <x:f>Historico!K12</x:f>
        <x:v>81.66666666666667</x:v>
      </x:c>
      <x:c r="C36" s="11" t="n">
        <x:f>SUMIFS(Estoque!$D$5:$D$23,Estoque!$B$5:$B$23,A36,Estoque!$C$5:$C$23,66)</x:f>
        <x:v>0</x:v>
      </x:c>
      <x:c r="D36" s="11" t="n">
        <x:f>0</x:f>
        <x:v>0</x:v>
      </x:c>
      <x:c r="E36" s="11" t="n">
        <x:f>IF($K$5=A36,$L$5,0)</x:f>
        <x:v>0</x:v>
      </x:c>
      <x:c r="F36" s="11" t="n">
        <x:f>IF($C$5=A36,$L$5,0)</x:f>
        <x:v>0</x:v>
      </x:c>
      <x:c r="G36" s="11" t="n">
        <x:f>MAX(0,C36-F36)</x:f>
        <x:v>0</x:v>
      </x:c>
      <x:c r="H36" s="11" t="n">
        <x:f>MIN(G36,MAX(0,B36*D36/Conferencia!$B$6-E36))</x:f>
        <x:v>0</x:v>
      </x:c>
      <x:c r="I36" s="11" t="n">
        <x:f>B36*$F$6/Conferencia!$B$6</x:f>
        <x:v>1195.0555555555557</x:v>
      </x:c>
      <x:c r="J36" s="11" t="n">
        <x:f>E36+IF(D36&lt;=$F$6,H36,0)</x:f>
        <x:v>0</x:v>
      </x:c>
      <x:c r="K36" s="11" t="n">
        <x:f>MAX(0,I36-J36)</x:f>
        <x:v>1195.0555555555557</x:v>
      </x:c>
      <x:c r="L36" s="11" t="n">
        <x:f>IF(D36&gt;$F$6,MIN(K36,MAX(0,B36*D36/Conferencia!$B$6-E36-H36)),K36)</x:f>
        <x:v>1195.0555555555557</x:v>
      </x:c>
      <x:c r="M36" s="1" t="n">
        <x:f>IF(OR(A36=$C$6,$F$6&lt;=0),0,MAX(0,INT(MIN($J$6,L36)+Conferencia!$B$7)))</x:f>
        <x:v>0</x:v>
      </x:c>
      <x:c r="N36" s="1" t="n">
        <x:f>IF(M36=0,0,1+COUNTIF($M$34:$M$50,"&gt;"&amp;M36)+COUNTIFS($M$34:$M$50,M36,$K$34:$K$50,"&gt;"&amp;K36)+COUNTIFS($M$34:$M$50,M36,$K$34:$K$50,K36,$A$34:$A$50,"&lt;"&amp;A36))</x:f>
        <x:v>0</x:v>
      </x:c>
    </x:row>
    <x:row r="37" ht="21" customHeight="1">
      <x:c r="A37" s="1" t="n">
        <x:v>4</x:v>
      </x:c>
      <x:c r="B37" s="11" t="n">
        <x:f>Historico!K13</x:f>
        <x:v>90.83333333333333</x:v>
      </x:c>
      <x:c r="C37" s="11" t="n">
        <x:f>SUMIFS(Estoque!$D$5:$D$23,Estoque!$B$5:$B$23,A37,Estoque!$C$5:$C$23,66)</x:f>
        <x:v>0</x:v>
      </x:c>
      <x:c r="D37" s="11" t="n">
        <x:f>0</x:f>
        <x:v>0</x:v>
      </x:c>
      <x:c r="E37" s="11" t="n">
        <x:f>IF($K$5=A37,$L$5,0)</x:f>
        <x:v>0</x:v>
      </x:c>
      <x:c r="F37" s="11" t="n">
        <x:f>IF($C$5=A37,$L$5,0)</x:f>
        <x:v>0</x:v>
      </x:c>
      <x:c r="G37" s="11" t="n">
        <x:f>MAX(0,C37-F37)</x:f>
        <x:v>0</x:v>
      </x:c>
      <x:c r="H37" s="11" t="n">
        <x:f>MIN(G37,MAX(0,B37*D37/Conferencia!$B$6-E37))</x:f>
        <x:v>0</x:v>
      </x:c>
      <x:c r="I37" s="11" t="n">
        <x:f>B37*$F$6/Conferencia!$B$6</x:f>
        <x:v>1329.1944444444443</x:v>
      </x:c>
      <x:c r="J37" s="11" t="n">
        <x:f>E37+IF(D37&lt;=$F$6,H37,0)</x:f>
        <x:v>0</x:v>
      </x:c>
      <x:c r="K37" s="11" t="n">
        <x:f>MAX(0,I37-J37)</x:f>
        <x:v>1329.1944444444443</x:v>
      </x:c>
      <x:c r="L37" s="11" t="n">
        <x:f>IF(D37&gt;$F$6,MIN(K37,MAX(0,B37*D37/Conferencia!$B$6-E37-H37)),K37)</x:f>
        <x:v>1329.1944444444443</x:v>
      </x:c>
      <x:c r="M37" s="1" t="n">
        <x:f>IF(OR(A37=$C$6,$F$6&lt;=0),0,MAX(0,INT(MIN($J$6,L37)+Conferencia!$B$7)))</x:f>
        <x:v>0</x:v>
      </x:c>
      <x:c r="N37" s="1" t="n">
        <x:f>IF(M37=0,0,1+COUNTIF($M$34:$M$50,"&gt;"&amp;M37)+COUNTIFS($M$34:$M$50,M37,$K$34:$K$50,"&gt;"&amp;K37)+COUNTIFS($M$34:$M$50,M37,$K$34:$K$50,K37,$A$34:$A$50,"&lt;"&amp;A37))</x:f>
        <x:v>0</x:v>
      </x:c>
    </x:row>
    <x:row r="38" ht="21" customHeight="1">
      <x:c r="A38" s="1" t="n">
        <x:v>5</x:v>
      </x:c>
      <x:c r="B38" s="11" t="n">
        <x:f>Historico!K14</x:f>
        <x:v>33.5</x:v>
      </x:c>
      <x:c r="C38" s="11" t="n">
        <x:f>SUMIFS(Estoque!$D$5:$D$23,Estoque!$B$5:$B$23,A38,Estoque!$C$5:$C$23,66)</x:f>
        <x:v>0</x:v>
      </x:c>
      <x:c r="D38" s="11" t="n">
        <x:f>0</x:f>
        <x:v>0</x:v>
      </x:c>
      <x:c r="E38" s="11" t="n">
        <x:f>IF($K$5=A38,$L$5,0)</x:f>
        <x:v>0</x:v>
      </x:c>
      <x:c r="F38" s="11" t="n">
        <x:f>IF($C$5=A38,$L$5,0)</x:f>
        <x:v>0</x:v>
      </x:c>
      <x:c r="G38" s="11" t="n">
        <x:f>MAX(0,C38-F38)</x:f>
        <x:v>0</x:v>
      </x:c>
      <x:c r="H38" s="11" t="n">
        <x:f>MIN(G38,MAX(0,B38*D38/Conferencia!$B$6-E38))</x:f>
        <x:v>0</x:v>
      </x:c>
      <x:c r="I38" s="11" t="n">
        <x:f>B38*$F$6/Conferencia!$B$6</x:f>
        <x:v>490.21666666666664</x:v>
      </x:c>
      <x:c r="J38" s="11" t="n">
        <x:f>E38+IF(D38&lt;=$F$6,H38,0)</x:f>
        <x:v>0</x:v>
      </x:c>
      <x:c r="K38" s="11" t="n">
        <x:f>MAX(0,I38-J38)</x:f>
        <x:v>490.21666666666664</x:v>
      </x:c>
      <x:c r="L38" s="11" t="n">
        <x:f>IF(D38&gt;$F$6,MIN(K38,MAX(0,B38*D38/Conferencia!$B$6-E38-H38)),K38)</x:f>
        <x:v>490.21666666666664</x:v>
      </x:c>
      <x:c r="M38" s="1" t="n">
        <x:f>IF(OR(A38=$C$6,$F$6&lt;=0),0,MAX(0,INT(MIN($J$6,L38)+Conferencia!$B$7)))</x:f>
        <x:v>0</x:v>
      </x:c>
      <x:c r="N38" s="1" t="n">
        <x:f>IF(M38=0,0,1+COUNTIF($M$34:$M$50,"&gt;"&amp;M38)+COUNTIFS($M$34:$M$50,M38,$K$34:$K$50,"&gt;"&amp;K38)+COUNTIFS($M$34:$M$50,M38,$K$34:$K$50,K38,$A$34:$A$50,"&lt;"&amp;A38))</x:f>
        <x:v>0</x:v>
      </x:c>
    </x:row>
    <x:row r="39" ht="21" customHeight="1">
      <x:c r="A39" s="1" t="n">
        <x:v>6</x:v>
      </x:c>
      <x:c r="B39" s="11" t="n">
        <x:f>Historico!K15</x:f>
        <x:v>121</x:v>
      </x:c>
      <x:c r="C39" s="11" t="n">
        <x:f>SUMIFS(Estoque!$D$5:$D$23,Estoque!$B$5:$B$23,A39,Estoque!$C$5:$C$23,66)</x:f>
        <x:v>0</x:v>
      </x:c>
      <x:c r="D39" s="11" t="n">
        <x:f>0</x:f>
        <x:v>0</x:v>
      </x:c>
      <x:c r="E39" s="11" t="n">
        <x:f>IF($K$5=A39,$L$5,0)</x:f>
        <x:v>14</x:v>
      </x:c>
      <x:c r="F39" s="11" t="n">
        <x:f>IF($C$5=A39,$L$5,0)</x:f>
        <x:v>0</x:v>
      </x:c>
      <x:c r="G39" s="11" t="n">
        <x:f>MAX(0,C39-F39)</x:f>
        <x:v>0</x:v>
      </x:c>
      <x:c r="H39" s="11" t="n">
        <x:f>MIN(G39,MAX(0,B39*D39/Conferencia!$B$6-E39))</x:f>
        <x:v>0</x:v>
      </x:c>
      <x:c r="I39" s="11" t="n">
        <x:f>B39*$F$6/Conferencia!$B$6</x:f>
        <x:v>1770.6333333333334</x:v>
      </x:c>
      <x:c r="J39" s="11" t="n">
        <x:f>E39+IF(D39&lt;=$F$6,H39,0)</x:f>
        <x:v>14</x:v>
      </x:c>
      <x:c r="K39" s="11" t="n">
        <x:f>MAX(0,I39-J39)</x:f>
        <x:v>1756.6333333333334</x:v>
      </x:c>
      <x:c r="L39" s="11" t="n">
        <x:f>IF(D39&gt;$F$6,MIN(K39,MAX(0,B39*D39/Conferencia!$B$6-E39-H39)),K39)</x:f>
        <x:v>1756.6333333333334</x:v>
      </x:c>
      <x:c r="M39" s="1" t="n">
        <x:f>IF(OR(A39=$C$6,$F$6&lt;=0),0,MAX(0,INT(MIN($J$6,L39)+Conferencia!$B$7)))</x:f>
        <x:v>0</x:v>
      </x:c>
      <x:c r="N39" s="1" t="n">
        <x:f>IF(M39=0,0,1+COUNTIF($M$34:$M$50,"&gt;"&amp;M39)+COUNTIFS($M$34:$M$50,M39,$K$34:$K$50,"&gt;"&amp;K39)+COUNTIFS($M$34:$M$50,M39,$K$34:$K$50,K39,$A$34:$A$50,"&lt;"&amp;A39))</x:f>
        <x:v>0</x:v>
      </x:c>
    </x:row>
    <x:row r="40" ht="21" customHeight="1">
      <x:c r="A40" s="1" t="n">
        <x:v>7</x:v>
      </x:c>
      <x:c r="B40" s="11" t="n">
        <x:f>Historico!K16</x:f>
        <x:v>38.333333333333336</x:v>
      </x:c>
      <x:c r="C40" s="11" t="n">
        <x:f>SUMIFS(Estoque!$D$5:$D$23,Estoque!$B$5:$B$23,A40,Estoque!$C$5:$C$23,66)</x:f>
        <x:v>250</x:v>
      </x:c>
      <x:c r="D40" s="11" t="n">
        <x:f>Lotes!F18</x:f>
        <x:v>439</x:v>
      </x:c>
      <x:c r="E40" s="11" t="n">
        <x:f>IF($K$5=A40,$L$5,0)</x:f>
        <x:v>0</x:v>
      </x:c>
      <x:c r="F40" s="11" t="n">
        <x:f>IF($C$5=A40,$L$5,0)</x:f>
        <x:v>0</x:v>
      </x:c>
      <x:c r="G40" s="11" t="n">
        <x:f>MAX(0,C40-F40)</x:f>
        <x:v>250</x:v>
      </x:c>
      <x:c r="H40" s="11" t="n">
        <x:f>MIN(G40,MAX(0,B40*D40/Conferencia!$B$6-E40))</x:f>
        <x:v>250</x:v>
      </x:c>
      <x:c r="I40" s="11" t="n">
        <x:f>B40*$F$6/Conferencia!$B$6</x:f>
        <x:v>560.9444444444446</x:v>
      </x:c>
      <x:c r="J40" s="11" t="n">
        <x:f>E40+IF(D40&lt;=$F$6,H40,0)</x:f>
        <x:v>250</x:v>
      </x:c>
      <x:c r="K40" s="11" t="n">
        <x:f>MAX(0,I40-J40)</x:f>
        <x:v>310.94444444444457</x:v>
      </x:c>
      <x:c r="L40" s="11" t="n">
        <x:f>IF(D40&gt;$F$6,MIN(K40,MAX(0,B40*D40/Conferencia!$B$6-E40-H40)),K40)</x:f>
        <x:v>310.94444444444457</x:v>
      </x:c>
      <x:c r="M40" s="1" t="n">
        <x:f>IF(OR(A40=$C$6,$F$6&lt;=0),0,MAX(0,INT(MIN($J$6,L40)+Conferencia!$B$7)))</x:f>
        <x:v>0</x:v>
      </x:c>
      <x:c r="N40" s="1" t="n">
        <x:f>IF(M40=0,0,1+COUNTIF($M$34:$M$50,"&gt;"&amp;M40)+COUNTIFS($M$34:$M$50,M40,$K$34:$K$50,"&gt;"&amp;K40)+COUNTIFS($M$34:$M$50,M40,$K$34:$K$50,K40,$A$34:$A$50,"&lt;"&amp;A40))</x:f>
        <x:v>0</x:v>
      </x:c>
    </x:row>
    <x:row r="41" ht="21" customHeight="1">
      <x:c r="A41" s="1" t="n">
        <x:v>8</x:v>
      </x:c>
      <x:c r="B41" s="11" t="n">
        <x:f>Historico!K17</x:f>
        <x:v>74.33333333333333</x:v>
      </x:c>
      <x:c r="C41" s="11" t="n">
        <x:f>SUMIFS(Estoque!$D$5:$D$23,Estoque!$B$5:$B$23,A41,Estoque!$C$5:$C$23,66)</x:f>
        <x:v>0</x:v>
      </x:c>
      <x:c r="D41" s="11" t="n">
        <x:f>0</x:f>
        <x:v>0</x:v>
      </x:c>
      <x:c r="E41" s="11" t="n">
        <x:f>IF($K$5=A41,$L$5,0)</x:f>
        <x:v>0</x:v>
      </x:c>
      <x:c r="F41" s="11" t="n">
        <x:f>IF($C$5=A41,$L$5,0)</x:f>
        <x:v>0</x:v>
      </x:c>
      <x:c r="G41" s="11" t="n">
        <x:f>MAX(0,C41-F41)</x:f>
        <x:v>0</x:v>
      </x:c>
      <x:c r="H41" s="11" t="n">
        <x:f>MIN(G41,MAX(0,B41*D41/Conferencia!$B$6-E41))</x:f>
        <x:v>0</x:v>
      </x:c>
      <x:c r="I41" s="11" t="n">
        <x:f>B41*$F$6/Conferencia!$B$6</x:f>
        <x:v>1087.7444444444443</x:v>
      </x:c>
      <x:c r="J41" s="11" t="n">
        <x:f>E41+IF(D41&lt;=$F$6,H41,0)</x:f>
        <x:v>0</x:v>
      </x:c>
      <x:c r="K41" s="11" t="n">
        <x:f>MAX(0,I41-J41)</x:f>
        <x:v>1087.7444444444443</x:v>
      </x:c>
      <x:c r="L41" s="11" t="n">
        <x:f>IF(D41&gt;$F$6,MIN(K41,MAX(0,B41*D41/Conferencia!$B$6-E41-H41)),K41)</x:f>
        <x:v>1087.7444444444443</x:v>
      </x:c>
      <x:c r="M41" s="1" t="n">
        <x:f>IF(OR(A41=$C$6,$F$6&lt;=0),0,MAX(0,INT(MIN($J$6,L41)+Conferencia!$B$7)))</x:f>
        <x:v>0</x:v>
      </x:c>
      <x:c r="N41" s="1" t="n">
        <x:f>IF(M41=0,0,1+COUNTIF($M$34:$M$50,"&gt;"&amp;M41)+COUNTIFS($M$34:$M$50,M41,$K$34:$K$50,"&gt;"&amp;K41)+COUNTIFS($M$34:$M$50,M41,$K$34:$K$50,K41,$A$34:$A$50,"&lt;"&amp;A41))</x:f>
        <x:v>0</x:v>
      </x:c>
    </x:row>
    <x:row r="42" ht="21" customHeight="1">
      <x:c r="A42" s="1" t="n">
        <x:v>9</x:v>
      </x:c>
      <x:c r="B42" s="11" t="n">
        <x:f>Historico!K18</x:f>
        <x:v>0</x:v>
      </x:c>
      <x:c r="C42" s="11" t="n">
        <x:f>SUMIFS(Estoque!$D$5:$D$23,Estoque!$B$5:$B$23,A42,Estoque!$C$5:$C$23,66)</x:f>
        <x:v>0</x:v>
      </x:c>
      <x:c r="D42" s="11" t="n">
        <x:f>0</x:f>
        <x:v>0</x:v>
      </x:c>
      <x:c r="E42" s="11" t="n">
        <x:f>IF($K$5=A42,$L$5,0)</x:f>
        <x:v>0</x:v>
      </x:c>
      <x:c r="F42" s="11" t="n">
        <x:f>IF($C$5=A42,$L$5,0)</x:f>
        <x:v>0</x:v>
      </x:c>
      <x:c r="G42" s="11" t="n">
        <x:f>MAX(0,C42-F42)</x:f>
        <x:v>0</x:v>
      </x:c>
      <x:c r="H42" s="11" t="n">
        <x:f>MIN(G42,MAX(0,B42*D42/Conferencia!$B$6-E42))</x:f>
        <x:v>0</x:v>
      </x:c>
      <x:c r="I42" s="11" t="n">
        <x:f>B42*$F$6/Conferencia!$B$6</x:f>
        <x:v>0</x:v>
      </x:c>
      <x:c r="J42" s="11" t="n">
        <x:f>E42+IF(D42&lt;=$F$6,H42,0)</x:f>
        <x:v>0</x:v>
      </x:c>
      <x:c r="K42" s="11" t="n">
        <x:f>MAX(0,I42-J42)</x:f>
        <x:v>0</x:v>
      </x:c>
      <x:c r="L42" s="11" t="n">
        <x:f>IF(D42&gt;$F$6,MIN(K42,MAX(0,B42*D42/Conferencia!$B$6-E42-H42)),K42)</x:f>
        <x:v>0</x:v>
      </x:c>
      <x:c r="M42" s="1" t="n">
        <x:f>IF(OR(A42=$C$6,$F$6&lt;=0),0,MAX(0,INT(MIN($J$6,L42)+Conferencia!$B$7)))</x:f>
        <x:v>0</x:v>
      </x:c>
      <x:c r="N42" s="1" t="n">
        <x:f>IF(M42=0,0,1+COUNTIF($M$34:$M$50,"&gt;"&amp;M42)+COUNTIFS($M$34:$M$50,M42,$K$34:$K$50,"&gt;"&amp;K42)+COUNTIFS($M$34:$M$50,M42,$K$34:$K$50,K42,$A$34:$A$50,"&lt;"&amp;A42))</x:f>
        <x:v>0</x:v>
      </x:c>
    </x:row>
    <x:row r="43" ht="21" customHeight="1">
      <x:c r="A43" s="1" t="n">
        <x:v>10</x:v>
      </x:c>
      <x:c r="B43" s="11" t="n">
        <x:f>Historico!K19</x:f>
        <x:v>40</x:v>
      </x:c>
      <x:c r="C43" s="11" t="n">
        <x:f>SUMIFS(Estoque!$D$5:$D$23,Estoque!$B$5:$B$23,A43,Estoque!$C$5:$C$23,66)</x:f>
        <x:v>0</x:v>
      </x:c>
      <x:c r="D43" s="11" t="n">
        <x:f>0</x:f>
        <x:v>0</x:v>
      </x:c>
      <x:c r="E43" s="11" t="n">
        <x:f>IF($K$5=A43,$L$5,0)</x:f>
        <x:v>0</x:v>
      </x:c>
      <x:c r="F43" s="11" t="n">
        <x:f>IF($C$5=A43,$L$5,0)</x:f>
        <x:v>0</x:v>
      </x:c>
      <x:c r="G43" s="11" t="n">
        <x:f>MAX(0,C43-F43)</x:f>
        <x:v>0</x:v>
      </x:c>
      <x:c r="H43" s="11" t="n">
        <x:f>MIN(G43,MAX(0,B43*D43/Conferencia!$B$6-E43))</x:f>
        <x:v>0</x:v>
      </x:c>
      <x:c r="I43" s="11" t="n">
        <x:f>B43*$F$6/Conferencia!$B$6</x:f>
        <x:v>585.3333333333334</x:v>
      </x:c>
      <x:c r="J43" s="11" t="n">
        <x:f>E43+IF(D43&lt;=$F$6,H43,0)</x:f>
        <x:v>0</x:v>
      </x:c>
      <x:c r="K43" s="11" t="n">
        <x:f>MAX(0,I43-J43)</x:f>
        <x:v>585.3333333333334</x:v>
      </x:c>
      <x:c r="L43" s="11" t="n">
        <x:f>IF(D43&gt;$F$6,MIN(K43,MAX(0,B43*D43/Conferencia!$B$6-E43-H43)),K43)</x:f>
        <x:v>585.3333333333334</x:v>
      </x:c>
      <x:c r="M43" s="1" t="n">
        <x:f>IF(OR(A43=$C$6,$F$6&lt;=0),0,MAX(0,INT(MIN($J$6,L43)+Conferencia!$B$7)))</x:f>
        <x:v>0</x:v>
      </x:c>
      <x:c r="N43" s="1" t="n">
        <x:f>IF(M43=0,0,1+COUNTIF($M$34:$M$50,"&gt;"&amp;M43)+COUNTIFS($M$34:$M$50,M43,$K$34:$K$50,"&gt;"&amp;K43)+COUNTIFS($M$34:$M$50,M43,$K$34:$K$50,K43,$A$34:$A$50,"&lt;"&amp;A43))</x:f>
        <x:v>0</x:v>
      </x:c>
    </x:row>
    <x:row r="44" ht="21" customHeight="1">
      <x:c r="A44" s="1" t="n">
        <x:v>11</x:v>
      </x:c>
      <x:c r="B44" s="11" t="n">
        <x:f>Historico!K20</x:f>
        <x:v>0</x:v>
      </x:c>
      <x:c r="C44" s="11" t="n">
        <x:f>SUMIFS(Estoque!$D$5:$D$23,Estoque!$B$5:$B$23,A44,Estoque!$C$5:$C$23,66)</x:f>
        <x:v>14</x:v>
      </x:c>
      <x:c r="D44" s="11" t="n">
        <x:f>Lotes!F19</x:f>
        <x:v>127</x:v>
      </x:c>
      <x:c r="E44" s="11" t="n">
        <x:f>IF($K$5=A44,$L$5,0)</x:f>
        <x:v>0</x:v>
      </x:c>
      <x:c r="F44" s="11" t="n">
        <x:f>IF($C$5=A44,$L$5,0)</x:f>
        <x:v>14</x:v>
      </x:c>
      <x:c r="G44" s="11" t="n">
        <x:f>MAX(0,C44-F44)</x:f>
        <x:v>0</x:v>
      </x:c>
      <x:c r="H44" s="11" t="n">
        <x:f>MIN(G44,MAX(0,B44*D44/Conferencia!$B$6-E44))</x:f>
        <x:v>0</x:v>
      </x:c>
      <x:c r="I44" s="11" t="n">
        <x:f>B44*$F$6/Conferencia!$B$6</x:f>
        <x:v>0</x:v>
      </x:c>
      <x:c r="J44" s="11" t="n">
        <x:f>E44+IF(D44&lt;=$F$6,H44,0)</x:f>
        <x:v>0</x:v>
      </x:c>
      <x:c r="K44" s="11" t="n">
        <x:f>MAX(0,I44-J44)</x:f>
        <x:v>0</x:v>
      </x:c>
      <x:c r="L44" s="11" t="n">
        <x:f>IF(D44&gt;$F$6,MIN(K44,MAX(0,B44*D44/Conferencia!$B$6-E44-H44)),K44)</x:f>
        <x:v>0</x:v>
      </x:c>
      <x:c r="M44" s="1" t="n">
        <x:f>IF(OR(A44=$C$6,$F$6&lt;=0),0,MAX(0,INT(MIN($J$6,L44)+Conferencia!$B$7)))</x:f>
        <x:v>0</x:v>
      </x:c>
      <x:c r="N44" s="1" t="n">
        <x:f>IF(M44=0,0,1+COUNTIF($M$34:$M$50,"&gt;"&amp;M44)+COUNTIFS($M$34:$M$50,M44,$K$34:$K$50,"&gt;"&amp;K44)+COUNTIFS($M$34:$M$50,M44,$K$34:$K$50,K44,$A$34:$A$50,"&lt;"&amp;A44))</x:f>
        <x:v>0</x:v>
      </x:c>
    </x:row>
    <x:row r="45" ht="21" customHeight="1">
      <x:c r="A45" s="1" t="n">
        <x:v>12</x:v>
      </x:c>
      <x:c r="B45" s="11" t="n">
        <x:f>Historico!K21</x:f>
        <x:v>39.833333333333336</x:v>
      </x:c>
      <x:c r="C45" s="11" t="n">
        <x:f>SUMIFS(Estoque!$D$5:$D$23,Estoque!$B$5:$B$23,A45,Estoque!$C$5:$C$23,66)</x:f>
        <x:v>0</x:v>
      </x:c>
      <x:c r="D45" s="11" t="n">
        <x:f>0</x:f>
        <x:v>0</x:v>
      </x:c>
      <x:c r="E45" s="11" t="n">
        <x:f>IF($K$5=A45,$L$5,0)</x:f>
        <x:v>0</x:v>
      </x:c>
      <x:c r="F45" s="11" t="n">
        <x:f>IF($C$5=A45,$L$5,0)</x:f>
        <x:v>0</x:v>
      </x:c>
      <x:c r="G45" s="11" t="n">
        <x:f>MAX(0,C45-F45)</x:f>
        <x:v>0</x:v>
      </x:c>
      <x:c r="H45" s="11" t="n">
        <x:f>MIN(G45,MAX(0,B45*D45/Conferencia!$B$6-E45))</x:f>
        <x:v>0</x:v>
      </x:c>
      <x:c r="I45" s="11" t="n">
        <x:f>B45*$F$6/Conferencia!$B$6</x:f>
        <x:v>582.8944444444445</x:v>
      </x:c>
      <x:c r="J45" s="11" t="n">
        <x:f>E45+IF(D45&lt;=$F$6,H45,0)</x:f>
        <x:v>0</x:v>
      </x:c>
      <x:c r="K45" s="11" t="n">
        <x:f>MAX(0,I45-J45)</x:f>
        <x:v>582.8944444444445</x:v>
      </x:c>
      <x:c r="L45" s="11" t="n">
        <x:f>IF(D45&gt;$F$6,MIN(K45,MAX(0,B45*D45/Conferencia!$B$6-E45-H45)),K45)</x:f>
        <x:v>582.8944444444445</x:v>
      </x:c>
      <x:c r="M45" s="1" t="n">
        <x:f>IF(OR(A45=$C$6,$F$6&lt;=0),0,MAX(0,INT(MIN($J$6,L45)+Conferencia!$B$7)))</x:f>
        <x:v>0</x:v>
      </x:c>
      <x:c r="N45" s="1" t="n">
        <x:f>IF(M45=0,0,1+COUNTIF($M$34:$M$50,"&gt;"&amp;M45)+COUNTIFS($M$34:$M$50,M45,$K$34:$K$50,"&gt;"&amp;K45)+COUNTIFS($M$34:$M$50,M45,$K$34:$K$50,K45,$A$34:$A$50,"&lt;"&amp;A45))</x:f>
        <x:v>0</x:v>
      </x:c>
    </x:row>
    <x:row r="46" ht="21" customHeight="1">
      <x:c r="A46" s="1" t="n">
        <x:v>13</x:v>
      </x:c>
      <x:c r="B46" s="11" t="n">
        <x:f>Historico!K23</x:f>
        <x:v>22.5</x:v>
      </x:c>
      <x:c r="C46" s="11" t="n">
        <x:f>SUMIFS(Estoque!$D$5:$D$23,Estoque!$B$5:$B$23,A46,Estoque!$C$5:$C$23,66)</x:f>
        <x:v>0</x:v>
      </x:c>
      <x:c r="D46" s="11" t="n">
        <x:f>0</x:f>
        <x:v>0</x:v>
      </x:c>
      <x:c r="E46" s="11" t="n">
        <x:f>IF($K$5=A46,$L$5,0)</x:f>
        <x:v>0</x:v>
      </x:c>
      <x:c r="F46" s="11" t="n">
        <x:f>IF($C$5=A46,$L$5,0)</x:f>
        <x:v>0</x:v>
      </x:c>
      <x:c r="G46" s="11" t="n">
        <x:f>MAX(0,C46-F46)</x:f>
        <x:v>0</x:v>
      </x:c>
      <x:c r="H46" s="11" t="n">
        <x:f>MIN(G46,MAX(0,B46*D46/Conferencia!$B$6-E46))</x:f>
        <x:v>0</x:v>
      </x:c>
      <x:c r="I46" s="11" t="n">
        <x:f>B46*$F$6/Conferencia!$B$6</x:f>
        <x:v>329.25</x:v>
      </x:c>
      <x:c r="J46" s="11" t="n">
        <x:f>E46+IF(D46&lt;=$F$6,H46,0)</x:f>
        <x:v>0</x:v>
      </x:c>
      <x:c r="K46" s="11" t="n">
        <x:f>MAX(0,I46-J46)</x:f>
        <x:v>329.25</x:v>
      </x:c>
      <x:c r="L46" s="11" t="n">
        <x:f>IF(D46&gt;$F$6,MIN(K46,MAX(0,B46*D46/Conferencia!$B$6-E46-H46)),K46)</x:f>
        <x:v>329.25</x:v>
      </x:c>
      <x:c r="M46" s="1" t="n">
        <x:f>IF(OR(A46=$C$6,$F$6&lt;=0),0,MAX(0,INT(MIN($J$6,L46)+Conferencia!$B$7)))</x:f>
        <x:v>0</x:v>
      </x:c>
      <x:c r="N46" s="1" t="n">
        <x:f>IF(M46=0,0,1+COUNTIF($M$34:$M$50,"&gt;"&amp;M46)+COUNTIFS($M$34:$M$50,M46,$K$34:$K$50,"&gt;"&amp;K46)+COUNTIFS($M$34:$M$50,M46,$K$34:$K$50,K46,$A$34:$A$50,"&lt;"&amp;A46))</x:f>
        <x:v>0</x:v>
      </x:c>
    </x:row>
    <x:row r="47" ht="21" customHeight="1">
      <x:c r="A47" s="1" t="n">
        <x:v>14</x:v>
      </x:c>
      <x:c r="B47" s="11" t="n">
        <x:f>Historico!K24</x:f>
        <x:v>0</x:v>
      </x:c>
      <x:c r="C47" s="11" t="n">
        <x:f>SUMIFS(Estoque!$D$5:$D$23,Estoque!$B$5:$B$23,A47,Estoque!$C$5:$C$23,66)</x:f>
        <x:v>0</x:v>
      </x:c>
      <x:c r="D47" s="11" t="n">
        <x:f>0</x:f>
        <x:v>0</x:v>
      </x:c>
      <x:c r="E47" s="11" t="n">
        <x:f>IF($K$5=A47,$L$5,0)</x:f>
        <x:v>0</x:v>
      </x:c>
      <x:c r="F47" s="11" t="n">
        <x:f>IF($C$5=A47,$L$5,0)</x:f>
        <x:v>0</x:v>
      </x:c>
      <x:c r="G47" s="11" t="n">
        <x:f>MAX(0,C47-F47)</x:f>
        <x:v>0</x:v>
      </x:c>
      <x:c r="H47" s="11" t="n">
        <x:f>MIN(G47,MAX(0,B47*D47/Conferencia!$B$6-E47))</x:f>
        <x:v>0</x:v>
      </x:c>
      <x:c r="I47" s="11" t="n">
        <x:f>B47*$F$6/Conferencia!$B$6</x:f>
        <x:v>0</x:v>
      </x:c>
      <x:c r="J47" s="11" t="n">
        <x:f>E47+IF(D47&lt;=$F$6,H47,0)</x:f>
        <x:v>0</x:v>
      </x:c>
      <x:c r="K47" s="11" t="n">
        <x:f>MAX(0,I47-J47)</x:f>
        <x:v>0</x:v>
      </x:c>
      <x:c r="L47" s="11" t="n">
        <x:f>IF(D47&gt;$F$6,MIN(K47,MAX(0,B47*D47/Conferencia!$B$6-E47-H47)),K47)</x:f>
        <x:v>0</x:v>
      </x:c>
      <x:c r="M47" s="1" t="n">
        <x:f>IF(OR(A47=$C$6,$F$6&lt;=0),0,MAX(0,INT(MIN($J$6,L47)+Conferencia!$B$7)))</x:f>
        <x:v>0</x:v>
      </x:c>
      <x:c r="N47" s="1" t="n">
        <x:f>IF(M47=0,0,1+COUNTIF($M$34:$M$50,"&gt;"&amp;M47)+COUNTIFS($M$34:$M$50,M47,$K$34:$K$50,"&gt;"&amp;K47)+COUNTIFS($M$34:$M$50,M47,$K$34:$K$50,K47,$A$34:$A$50,"&lt;"&amp;A47))</x:f>
        <x:v>0</x:v>
      </x:c>
    </x:row>
    <x:row r="48" ht="21" customHeight="1">
      <x:c r="A48" s="1" t="n">
        <x:v>15</x:v>
      </x:c>
      <x:c r="B48" s="11" t="n">
        <x:f>Historico!K25</x:f>
        <x:v>42</x:v>
      </x:c>
      <x:c r="C48" s="11" t="n">
        <x:f>SUMIFS(Estoque!$D$5:$D$23,Estoque!$B$5:$B$23,A48,Estoque!$C$5:$C$23,66)</x:f>
        <x:v>0</x:v>
      </x:c>
      <x:c r="D48" s="11" t="n">
        <x:f>0</x:f>
        <x:v>0</x:v>
      </x:c>
      <x:c r="E48" s="11" t="n">
        <x:f>IF($K$5=A48,$L$5,0)</x:f>
        <x:v>0</x:v>
      </x:c>
      <x:c r="F48" s="11" t="n">
        <x:f>IF($C$5=A48,$L$5,0)</x:f>
        <x:v>0</x:v>
      </x:c>
      <x:c r="G48" s="11" t="n">
        <x:f>MAX(0,C48-F48)</x:f>
        <x:v>0</x:v>
      </x:c>
      <x:c r="H48" s="11" t="n">
        <x:f>MIN(G48,MAX(0,B48*D48/Conferencia!$B$6-E48))</x:f>
        <x:v>0</x:v>
      </x:c>
      <x:c r="I48" s="11" t="n">
        <x:f>B48*$F$6/Conferencia!$B$6</x:f>
        <x:v>614.6</x:v>
      </x:c>
      <x:c r="J48" s="11" t="n">
        <x:f>E48+IF(D48&lt;=$F$6,H48,0)</x:f>
        <x:v>0</x:v>
      </x:c>
      <x:c r="K48" s="11" t="n">
        <x:f>MAX(0,I48-J48)</x:f>
        <x:v>614.6</x:v>
      </x:c>
      <x:c r="L48" s="11" t="n">
        <x:f>IF(D48&gt;$F$6,MIN(K48,MAX(0,B48*D48/Conferencia!$B$6-E48-H48)),K48)</x:f>
        <x:v>614.6</x:v>
      </x:c>
      <x:c r="M48" s="1" t="n">
        <x:f>IF(OR(A48=$C$6,$F$6&lt;=0),0,MAX(0,INT(MIN($J$6,L48)+Conferencia!$B$7)))</x:f>
        <x:v>0</x:v>
      </x:c>
      <x:c r="N48" s="1" t="n">
        <x:f>IF(M48=0,0,1+COUNTIF($M$34:$M$50,"&gt;"&amp;M48)+COUNTIFS($M$34:$M$50,M48,$K$34:$K$50,"&gt;"&amp;K48)+COUNTIFS($M$34:$M$50,M48,$K$34:$K$50,K48,$A$34:$A$50,"&lt;"&amp;A48))</x:f>
        <x:v>0</x:v>
      </x:c>
    </x:row>
    <x:row r="49" ht="21" customHeight="1">
      <x:c r="A49" s="1" t="n">
        <x:v>16</x:v>
      </x:c>
      <x:c r="B49" s="11" t="n">
        <x:f>Historico!K26</x:f>
        <x:v>50.833333333333336</x:v>
      </x:c>
      <x:c r="C49" s="11" t="n">
        <x:f>SUMIFS(Estoque!$D$5:$D$23,Estoque!$B$5:$B$23,A49,Estoque!$C$5:$C$23,66)</x:f>
        <x:v>0</x:v>
      </x:c>
      <x:c r="D49" s="11" t="n">
        <x:f>0</x:f>
        <x:v>0</x:v>
      </x:c>
      <x:c r="E49" s="11" t="n">
        <x:f>IF($K$5=A49,$L$5,0)</x:f>
        <x:v>0</x:v>
      </x:c>
      <x:c r="F49" s="11" t="n">
        <x:f>IF($C$5=A49,$L$5,0)</x:f>
        <x:v>0</x:v>
      </x:c>
      <x:c r="G49" s="11" t="n">
        <x:f>MAX(0,C49-F49)</x:f>
        <x:v>0</x:v>
      </x:c>
      <x:c r="H49" s="11" t="n">
        <x:f>MIN(G49,MAX(0,B49*D49/Conferencia!$B$6-E49))</x:f>
        <x:v>0</x:v>
      </x:c>
      <x:c r="I49" s="11" t="n">
        <x:f>B49*$F$6/Conferencia!$B$6</x:f>
        <x:v>743.8611111111112</x:v>
      </x:c>
      <x:c r="J49" s="11" t="n">
        <x:f>E49+IF(D49&lt;=$F$6,H49,0)</x:f>
        <x:v>0</x:v>
      </x:c>
      <x:c r="K49" s="11" t="n">
        <x:f>MAX(0,I49-J49)</x:f>
        <x:v>743.8611111111112</x:v>
      </x:c>
      <x:c r="L49" s="11" t="n">
        <x:f>IF(D49&gt;$F$6,MIN(K49,MAX(0,B49*D49/Conferencia!$B$6-E49-H49)),K49)</x:f>
        <x:v>743.8611111111112</x:v>
      </x:c>
      <x:c r="M49" s="1" t="n">
        <x:f>IF(OR(A49=$C$6,$F$6&lt;=0),0,MAX(0,INT(MIN($J$6,L49)+Conferencia!$B$7)))</x:f>
        <x:v>0</x:v>
      </x:c>
      <x:c r="N49" s="1" t="n">
        <x:f>IF(M49=0,0,1+COUNTIF($M$34:$M$50,"&gt;"&amp;M49)+COUNTIFS($M$34:$M$50,M49,$K$34:$K$50,"&gt;"&amp;K49)+COUNTIFS($M$34:$M$50,M49,$K$34:$K$50,K49,$A$34:$A$50,"&lt;"&amp;A49))</x:f>
        <x:v>0</x:v>
      </x:c>
    </x:row>
    <x:row r="50" ht="21" customHeight="1">
      <x:c r="A50" s="1" t="n">
        <x:v>17</x:v>
      </x:c>
      <x:c r="B50" s="11" t="n">
        <x:f>Historico!K27</x:f>
        <x:v>0</x:v>
      </x:c>
      <x:c r="C50" s="11" t="n">
        <x:f>SUMIFS(Estoque!$D$5:$D$23,Estoque!$B$5:$B$23,A50,Estoque!$C$5:$C$23,66)</x:f>
        <x:v>0</x:v>
      </x:c>
      <x:c r="D50" s="11" t="n">
        <x:f>0</x:f>
        <x:v>0</x:v>
      </x:c>
      <x:c r="E50" s="11" t="n">
        <x:f>IF($K$5=A50,$L$5,0)</x:f>
        <x:v>0</x:v>
      </x:c>
      <x:c r="F50" s="11" t="n">
        <x:f>IF($C$5=A50,$L$5,0)</x:f>
        <x:v>0</x:v>
      </x:c>
      <x:c r="G50" s="11" t="n">
        <x:f>MAX(0,C50-F50)</x:f>
        <x:v>0</x:v>
      </x:c>
      <x:c r="H50" s="11" t="n">
        <x:f>MIN(G50,MAX(0,B50*D50/Conferencia!$B$6-E50))</x:f>
        <x:v>0</x:v>
      </x:c>
      <x:c r="I50" s="11" t="n">
        <x:f>B50*$F$6/Conferencia!$B$6</x:f>
        <x:v>0</x:v>
      </x:c>
      <x:c r="J50" s="11" t="n">
        <x:f>E50+IF(D50&lt;=$F$6,H50,0)</x:f>
        <x:v>0</x:v>
      </x:c>
      <x:c r="K50" s="11" t="n">
        <x:f>MAX(0,I50-J50)</x:f>
        <x:v>0</x:v>
      </x:c>
      <x:c r="L50" s="11" t="n">
        <x:f>IF(D50&gt;$F$6,MIN(K50,MAX(0,B50*D50/Conferencia!$B$6-E50-H50)),K50)</x:f>
        <x:v>0</x:v>
      </x:c>
      <x:c r="M50" s="1" t="n">
        <x:f>IF(OR(A50=$C$6,$F$6&lt;=0),0,MAX(0,INT(MIN($J$6,L50)+Conferencia!$B$7)))</x:f>
        <x:v>0</x:v>
      </x:c>
      <x:c r="N50" s="1" t="n">
        <x:f>IF(M50=0,0,1+COUNTIF($M$34:$M$50,"&gt;"&amp;M50)+COUNTIFS($M$34:$M$50,M50,$K$34:$K$50,"&gt;"&amp;K50)+COUNTIFS($M$34:$M$50,M50,$K$34:$K$50,K50,$A$34:$A$50,"&lt;"&amp;A50))</x:f>
        <x:v>0</x:v>
      </x:c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4" customHeight="1">
      <x:c r="A52" s="4" t="str">
        <x:v>Esta amostra tem no máximo um lote próprio por unidade. O diagnóstico geral de vários lotes está na aba Lotes.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 ht="24" customHeight="1">
      <x:c r="A53" s="4" t="str">
        <x:v>Se aparecer AMPLIAR_ETAPAS, a planilha não cobre o plano completo e a conferência não pode ser encerrada.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36" customHeight="1">
      <x:c r="A56" s="7" t="str">
        <x:v>Identificação</x:v>
      </x:c>
      <x:c r="B56" s="7" t="str">
        <x:v>Ordem no medicamento</x:v>
      </x:c>
      <x:c r="C56" s="7" t="str">
        <x:v>Medicamento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1" customHeight="1">
      <x:c r="A57" s="1" t="str">
        <x:v>Movimento 1</x:v>
      </x:c>
      <x:c r="B57" s="1" t="n">
        <x:v>1</x:v>
      </x:c>
      <x:c r="C57" s="1" t="n">
        <x:v>66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Comparacao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Esperados calculados antes de importar resultados. Valores obtidos locais não encerram a revisão humana.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Tipo</x:v>
      </x:c>
      <x:c r="B4" s="7" t="str">
        <x:v>Chave da amostra</x:v>
      </x:c>
      <x:c r="C4" s="7" t="str">
        <x:v>Campo</x:v>
      </x:c>
      <x:c r="D4" s="7" t="str">
        <x:v>Esperado (fórmula)</x:v>
      </x:c>
      <x:c r="E4" s="7" t="str">
        <x:v>Obtido</x:v>
      </x:c>
      <x:c r="F4" s="7" t="str">
        <x:v>Conformidade</x:v>
      </x:c>
      <x:c r="G4" s="7" t="str">
        <x:v>Causa da divergência</x:v>
      </x:c>
      <x:c r="H4" s="7" t="str">
        <x:v>Comparação</x:v>
      </x:c>
      <x:c r="I4" s="1"/>
      <x:c r="J4" s="1"/>
      <x:c r="K4" s="1"/>
      <x:c r="L4" s="1"/>
      <x:c r="M4" s="1"/>
      <x:c r="N4" s="1"/>
    </x:row>
    <x:row r="5" ht="35" customHeight="1">
      <x:c r="A5" s="1" t="str">
        <x:v>combinacao</x:v>
      </x:c>
      <x:c r="B5" s="1" t="str">
        <x:v>3|5</x:v>
      </x:c>
      <x:c r="C5" s="13" t="str">
        <x:v>quantidade</x:v>
      </x:c>
      <x:c r="D5" s="19" t="n">
        <x:f>Conferencia!C18</x:f>
        <x:v>2610</x:v>
      </x:c>
      <x:c r="E5" s="20" t="n">
        <x:v>2610</x:v>
      </x:c>
      <x:c r="F5" s="13" t="str">
        <x:f>IF(ISBLANK(E5),"PENDENTE",IF(D5=E5,"COINCIDE","DIVERGE"))</x:f>
        <x:v>COINCIDE</x:v>
      </x:c>
      <x:c r="G5" s="17"/>
      <x:c r="H5" s="1" t="str">
        <x:v>EXATA</x:v>
      </x:c>
      <x:c r="I5" s="1"/>
      <x:c r="J5" s="1"/>
      <x:c r="K5" s="1"/>
      <x:c r="L5" s="1"/>
      <x:c r="M5" s="1"/>
      <x:c r="N5" s="1"/>
    </x:row>
    <x:row r="6" ht="35" customHeight="1">
      <x:c r="A6" s="1" t="str">
        <x:v>combinacao</x:v>
      </x:c>
      <x:c r="B6" s="1" t="str">
        <x:v>3|5</x:v>
      </x:c>
      <x:c r="C6" s="13" t="str">
        <x:v>cmm</x:v>
      </x:c>
      <x:c r="D6" s="15" t="n">
        <x:f>Conferencia!D18</x:f>
        <x:v>11.833333333333334</x:v>
      </x:c>
      <x:c r="E6" s="16" t="n">
        <x:v>11.833333333333334</x:v>
      </x:c>
      <x:c r="F6" s="13" t="str">
        <x:f>IF(ISBLANK(E6),"PENDENTE",IF(ABS(D6-E6)&lt;=Conferencia!$B$7,"COINCIDE","DIVERGE"))</x:f>
        <x:v>COINCIDE</x:v>
      </x:c>
      <x:c r="G6" s="17"/>
      <x:c r="H6" s="1" t="str">
        <x:v>TOLERÂNCIA</x:v>
      </x:c>
      <x:c r="I6" s="1"/>
      <x:c r="J6" s="1"/>
      <x:c r="K6" s="1"/>
      <x:c r="L6" s="1"/>
      <x:c r="M6" s="1"/>
      <x:c r="N6" s="1"/>
    </x:row>
    <x:row r="7" ht="35" customHeight="1">
      <x:c r="A7" s="1" t="str">
        <x:v>combinacao</x:v>
      </x:c>
      <x:c r="B7" s="1" t="str">
        <x:v>3|5</x:v>
      </x:c>
      <x:c r="C7" s="13" t="str">
        <x:v>situacao</x:v>
      </x:c>
      <x:c r="D7" s="15" t="str">
        <x:f>Conferencia!E18</x:f>
        <x:v>COM_ESTOQUE_E_CONSUMO</x:v>
      </x:c>
      <x:c r="E7" s="16" t="str">
        <x:v>COM_ESTOQUE_E_CONSUMO</x:v>
      </x:c>
      <x:c r="F7" s="13" t="str">
        <x:f>IF(ISBLANK(E7),"PENDENTE",IF(D7=E7,"COINCIDE","DIVERGE"))</x:f>
        <x:v>COINCIDE</x:v>
      </x:c>
      <x:c r="G7" s="17"/>
      <x:c r="H7" s="1" t="str">
        <x:v>EXATA</x:v>
      </x:c>
      <x:c r="I7" s="1"/>
      <x:c r="J7" s="1"/>
      <x:c r="K7" s="1"/>
      <x:c r="L7" s="1"/>
      <x:c r="M7" s="1"/>
      <x:c r="N7" s="1"/>
    </x:row>
    <x:row r="8" ht="35" customHeight="1">
      <x:c r="A8" s="1" t="str">
        <x:v>combinacao</x:v>
      </x:c>
      <x:c r="B8" s="1" t="str">
        <x:v>12|111</x:v>
      </x:c>
      <x:c r="C8" s="13" t="str">
        <x:v>quantidade</x:v>
      </x:c>
      <x:c r="D8" s="19" t="n">
        <x:f>Conferencia!C19</x:f>
        <x:v>5</x:v>
      </x:c>
      <x:c r="E8" s="20" t="n">
        <x:v>5</x:v>
      </x:c>
      <x:c r="F8" s="13" t="str">
        <x:f>IF(ISBLANK(E8),"PENDENTE",IF(D8=E8,"COINCIDE","DIVERGE"))</x:f>
        <x:v>COINCIDE</x:v>
      </x:c>
      <x:c r="G8" s="17"/>
      <x:c r="H8" s="1" t="str">
        <x:v>EXATA</x:v>
      </x:c>
      <x:c r="I8" s="1"/>
      <x:c r="J8" s="1"/>
      <x:c r="K8" s="1"/>
      <x:c r="L8" s="1"/>
      <x:c r="M8" s="1"/>
      <x:c r="N8" s="1"/>
    </x:row>
    <x:row r="9" ht="35" customHeight="1">
      <x:c r="A9" s="1" t="str">
        <x:v>combinacao</x:v>
      </x:c>
      <x:c r="B9" s="1" t="str">
        <x:v>12|111</x:v>
      </x:c>
      <x:c r="C9" s="13" t="str">
        <x:v>cmm</x:v>
      </x:c>
      <x:c r="D9" s="15" t="n">
        <x:f>Conferencia!D19</x:f>
        <x:v>102</x:v>
      </x:c>
      <x:c r="E9" s="16" t="n">
        <x:v>102</x:v>
      </x:c>
      <x:c r="F9" s="13" t="str">
        <x:f>IF(ISBLANK(E9),"PENDENTE",IF(ABS(D9-E9)&lt;=Conferencia!$B$7,"COINCIDE","DIVERGE"))</x:f>
        <x:v>COINCIDE</x:v>
      </x:c>
      <x:c r="G9" s="17"/>
      <x:c r="H9" s="1" t="str">
        <x:v>TOLERÂNCIA</x:v>
      </x:c>
      <x:c r="I9" s="1"/>
      <x:c r="J9" s="1"/>
      <x:c r="K9" s="1"/>
      <x:c r="L9" s="1"/>
      <x:c r="M9" s="1"/>
      <x:c r="N9" s="1"/>
    </x:row>
    <x:row r="10" ht="35" customHeight="1">
      <x:c r="A10" s="1" t="str">
        <x:v>combinacao</x:v>
      </x:c>
      <x:c r="B10" s="1" t="str">
        <x:v>12|111</x:v>
      </x:c>
      <x:c r="C10" s="13" t="str">
        <x:v>situacao</x:v>
      </x:c>
      <x:c r="D10" s="15" t="str">
        <x:f>Conferencia!E19</x:f>
        <x:v>COM_ESTOQUE_E_CONSUMO</x:v>
      </x:c>
      <x:c r="E10" s="16" t="str">
        <x:v>COM_ESTOQUE_E_CONSUMO</x:v>
      </x:c>
      <x:c r="F10" s="13" t="str">
        <x:f>IF(ISBLANK(E10),"PENDENTE",IF(D10=E10,"COINCIDE","DIVERGE"))</x:f>
        <x:v>COINCIDE</x:v>
      </x:c>
      <x:c r="G10" s="17"/>
      <x:c r="H10" s="1" t="str">
        <x:v>EXATA</x:v>
      </x:c>
      <x:c r="I10" s="1"/>
      <x:c r="J10" s="1"/>
      <x:c r="K10" s="1"/>
      <x:c r="L10" s="1"/>
      <x:c r="M10" s="1"/>
      <x:c r="N10" s="1"/>
    </x:row>
    <x:row r="11" ht="35" customHeight="1">
      <x:c r="A11" s="1" t="str">
        <x:v>combinacao</x:v>
      </x:c>
      <x:c r="B11" s="1" t="str">
        <x:v>1|97</x:v>
      </x:c>
      <x:c r="C11" s="13" t="str">
        <x:v>quantidade</x:v>
      </x:c>
      <x:c r="D11" s="19" t="n">
        <x:f>Conferencia!C20</x:f>
        <x:v>10</x:v>
      </x:c>
      <x:c r="E11" s="20" t="n">
        <x:v>10</x:v>
      </x:c>
      <x:c r="F11" s="13" t="str">
        <x:f>IF(ISBLANK(E11),"PENDENTE",IF(D11=E11,"COINCIDE","DIVERGE"))</x:f>
        <x:v>COINCIDE</x:v>
      </x:c>
      <x:c r="G11" s="17"/>
      <x:c r="H11" s="1" t="str">
        <x:v>EXATA</x:v>
      </x:c>
      <x:c r="I11" s="1"/>
      <x:c r="J11" s="1"/>
      <x:c r="K11" s="1"/>
      <x:c r="L11" s="1"/>
      <x:c r="M11" s="1"/>
      <x:c r="N11" s="1"/>
    </x:row>
    <x:row r="12" ht="35" customHeight="1">
      <x:c r="A12" s="1" t="str">
        <x:v>combinacao</x:v>
      </x:c>
      <x:c r="B12" s="1" t="str">
        <x:v>1|97</x:v>
      </x:c>
      <x:c r="C12" s="13" t="str">
        <x:v>cmm</x:v>
      </x:c>
      <x:c r="D12" s="15" t="n">
        <x:f>Conferencia!D20</x:f>
        <x:v>40.333333333333336</x:v>
      </x:c>
      <x:c r="E12" s="16" t="n">
        <x:v>40.333333333333336</x:v>
      </x:c>
      <x:c r="F12" s="13" t="str">
        <x:f>IF(ISBLANK(E12),"PENDENTE",IF(ABS(D12-E12)&lt;=Conferencia!$B$7,"COINCIDE","DIVERGE"))</x:f>
        <x:v>COINCIDE</x:v>
      </x:c>
      <x:c r="G12" s="17"/>
      <x:c r="H12" s="1" t="str">
        <x:v>TOLERÂNCIA</x:v>
      </x:c>
      <x:c r="I12" s="1"/>
      <x:c r="J12" s="1"/>
      <x:c r="K12" s="1"/>
      <x:c r="L12" s="1"/>
      <x:c r="M12" s="1"/>
      <x:c r="N12" s="1"/>
    </x:row>
    <x:row r="13" ht="35" customHeight="1">
      <x:c r="A13" s="1" t="str">
        <x:v>combinacao</x:v>
      </x:c>
      <x:c r="B13" s="1" t="str">
        <x:v>1|97</x:v>
      </x:c>
      <x:c r="C13" s="13" t="str">
        <x:v>situacao</x:v>
      </x:c>
      <x:c r="D13" s="15" t="str">
        <x:f>Conferencia!E20</x:f>
        <x:v>COM_ESTOQUE_E_CONSUMO</x:v>
      </x:c>
      <x:c r="E13" s="16" t="str">
        <x:v>COM_ESTOQUE_E_CONSUMO</x:v>
      </x:c>
      <x:c r="F13" s="13" t="str">
        <x:f>IF(ISBLANK(E13),"PENDENTE",IF(D13=E13,"COINCIDE","DIVERGE"))</x:f>
        <x:v>COINCIDE</x:v>
      </x:c>
      <x:c r="G13" s="17"/>
      <x:c r="H13" s="1" t="str">
        <x:v>EXATA</x:v>
      </x:c>
      <x:c r="I13" s="1"/>
      <x:c r="J13" s="1"/>
      <x:c r="K13" s="1"/>
      <x:c r="L13" s="1"/>
      <x:c r="M13" s="1"/>
      <x:c r="N13" s="1"/>
    </x:row>
    <x:row r="14" ht="35" customHeight="1">
      <x:c r="A14" s="1" t="str">
        <x:v>combinacao</x:v>
      </x:c>
      <x:c r="B14" s="1" t="str">
        <x:v>1|6</x:v>
      </x:c>
      <x:c r="C14" s="13" t="str">
        <x:v>quantidade</x:v>
      </x:c>
      <x:c r="D14" s="19" t="n">
        <x:f>Conferencia!C21</x:f>
        <x:v>4920</x:v>
      </x:c>
      <x:c r="E14" s="20" t="n">
        <x:v>4920</x:v>
      </x:c>
      <x:c r="F14" s="13" t="str">
        <x:f>IF(ISBLANK(E14),"PENDENTE",IF(D14=E14,"COINCIDE","DIVERGE"))</x:f>
        <x:v>COINCIDE</x:v>
      </x:c>
      <x:c r="G14" s="17"/>
      <x:c r="H14" s="1" t="str">
        <x:v>EXATA</x:v>
      </x:c>
      <x:c r="I14" s="1"/>
      <x:c r="J14" s="1"/>
      <x:c r="K14" s="1"/>
      <x:c r="L14" s="1"/>
      <x:c r="M14" s="1"/>
      <x:c r="N14" s="1"/>
    </x:row>
    <x:row r="15" ht="35" customHeight="1">
      <x:c r="A15" s="1" t="str">
        <x:v>combinacao</x:v>
      </x:c>
      <x:c r="B15" s="1" t="str">
        <x:v>1|6</x:v>
      </x:c>
      <x:c r="C15" s="13" t="str">
        <x:v>cmm</x:v>
      </x:c>
      <x:c r="D15" s="15" t="n">
        <x:f>Conferencia!D21</x:f>
        <x:v>0</x:v>
      </x:c>
      <x:c r="E15" s="16" t="n">
        <x:v>0</x:v>
      </x:c>
      <x:c r="F15" s="13" t="str">
        <x:f>IF(ISBLANK(E15),"PENDENTE",IF(ABS(D15-E15)&lt;=Conferencia!$B$7,"COINCIDE","DIVERGE"))</x:f>
        <x:v>COINCIDE</x:v>
      </x:c>
      <x:c r="G15" s="17"/>
      <x:c r="H15" s="1" t="str">
        <x:v>TOLERÂNCIA</x:v>
      </x:c>
      <x:c r="I15" s="1"/>
      <x:c r="J15" s="1"/>
      <x:c r="K15" s="1"/>
      <x:c r="L15" s="1"/>
      <x:c r="M15" s="1"/>
      <x:c r="N15" s="1"/>
    </x:row>
    <x:row r="16" ht="35" customHeight="1">
      <x:c r="A16" s="1" t="str">
        <x:v>combinacao</x:v>
      </x:c>
      <x:c r="B16" s="1" t="str">
        <x:v>1|6</x:v>
      </x:c>
      <x:c r="C16" s="13" t="str">
        <x:v>situacao</x:v>
      </x:c>
      <x:c r="D16" s="15" t="str">
        <x:f>Conferencia!E21</x:f>
        <x:v>ESTOQUE_SEM_CONSUMO</x:v>
      </x:c>
      <x:c r="E16" s="16" t="str">
        <x:v>ESTOQUE_SEM_CONSUMO</x:v>
      </x:c>
      <x:c r="F16" s="13" t="str">
        <x:f>IF(ISBLANK(E16),"PENDENTE",IF(D16=E16,"COINCIDE","DIVERGE"))</x:f>
        <x:v>COINCIDE</x:v>
      </x:c>
      <x:c r="G16" s="17"/>
      <x:c r="H16" s="1" t="str">
        <x:v>EXATA</x:v>
      </x:c>
      <x:c r="I16" s="1"/>
      <x:c r="J16" s="1"/>
      <x:c r="K16" s="1"/>
      <x:c r="L16" s="1"/>
      <x:c r="M16" s="1"/>
      <x:c r="N16" s="1"/>
    </x:row>
    <x:row r="17" ht="35" customHeight="1">
      <x:c r="A17" s="1" t="str">
        <x:v>combinacao</x:v>
      </x:c>
      <x:c r="B17" s="1" t="str">
        <x:v>1|8</x:v>
      </x:c>
      <x:c r="C17" s="13" t="str">
        <x:v>quantidade</x:v>
      </x:c>
      <x:c r="D17" s="19" t="n">
        <x:f>Conferencia!C22</x:f>
        <x:v>0</x:v>
      </x:c>
      <x:c r="E17" s="20" t="n">
        <x:v>0</x:v>
      </x:c>
      <x:c r="F17" s="13" t="str">
        <x:f>IF(ISBLANK(E17),"PENDENTE",IF(D17=E17,"COINCIDE","DIVERGE"))</x:f>
        <x:v>COINCIDE</x:v>
      </x:c>
      <x:c r="G17" s="17"/>
      <x:c r="H17" s="1" t="str">
        <x:v>EXATA</x:v>
      </x:c>
      <x:c r="I17" s="1"/>
      <x:c r="J17" s="1"/>
      <x:c r="K17" s="1"/>
      <x:c r="L17" s="1"/>
      <x:c r="M17" s="1"/>
      <x:c r="N17" s="1"/>
    </x:row>
    <x:row r="18" ht="35" customHeight="1">
      <x:c r="A18" s="1" t="str">
        <x:v>combinacao</x:v>
      </x:c>
      <x:c r="B18" s="1" t="str">
        <x:v>1|8</x:v>
      </x:c>
      <x:c r="C18" s="13" t="str">
        <x:v>cmm</x:v>
      </x:c>
      <x:c r="D18" s="15" t="n">
        <x:f>Conferencia!D22</x:f>
        <x:v>104.16666666666667</x:v>
      </x:c>
      <x:c r="E18" s="16" t="n">
        <x:v>104.16666666666667</x:v>
      </x:c>
      <x:c r="F18" s="13" t="str">
        <x:f>IF(ISBLANK(E18),"PENDENTE",IF(ABS(D18-E18)&lt;=Conferencia!$B$7,"COINCIDE","DIVERGE"))</x:f>
        <x:v>COINCIDE</x:v>
      </x:c>
      <x:c r="G18" s="17"/>
      <x:c r="H18" s="1" t="str">
        <x:v>TOLERÂNCIA</x:v>
      </x:c>
      <x:c r="I18" s="1"/>
      <x:c r="J18" s="1"/>
      <x:c r="K18" s="1"/>
      <x:c r="L18" s="1"/>
      <x:c r="M18" s="1"/>
      <x:c r="N18" s="1"/>
    </x:row>
    <x:row r="19" ht="35" customHeight="1">
      <x:c r="A19" s="1" t="str">
        <x:v>combinacao</x:v>
      </x:c>
      <x:c r="B19" s="1" t="str">
        <x:v>1|8</x:v>
      </x:c>
      <x:c r="C19" s="13" t="str">
        <x:v>situacao</x:v>
      </x:c>
      <x:c r="D19" s="15" t="str">
        <x:f>Conferencia!E22</x:f>
        <x:v>INDISPONIVEL_COM_CONSUMO</x:v>
      </x:c>
      <x:c r="E19" s="16" t="str">
        <x:v>INDISPONIVEL_COM_CONSUMO</x:v>
      </x:c>
      <x:c r="F19" s="13" t="str">
        <x:f>IF(ISBLANK(E19),"PENDENTE",IF(D19=E19,"COINCIDE","DIVERGE"))</x:f>
        <x:v>COINCIDE</x:v>
      </x:c>
      <x:c r="G19" s="17"/>
      <x:c r="H19" s="1" t="str">
        <x:v>EXATA</x:v>
      </x:c>
      <x:c r="I19" s="1"/>
      <x:c r="J19" s="1"/>
      <x:c r="K19" s="1"/>
      <x:c r="L19" s="1"/>
      <x:c r="M19" s="1"/>
      <x:c r="N19" s="1"/>
    </x:row>
    <x:row r="20" ht="35" customHeight="1">
      <x:c r="A20" s="1" t="str">
        <x:v>combinacao</x:v>
      </x:c>
      <x:c r="B20" s="1" t="str">
        <x:v>1|5</x:v>
      </x:c>
      <x:c r="C20" s="13" t="str">
        <x:v>quantidade</x:v>
      </x:c>
      <x:c r="D20" s="19" t="n">
        <x:f>Conferencia!C23</x:f>
        <x:v>0</x:v>
      </x:c>
      <x:c r="E20" s="20" t="n">
        <x:v>0</x:v>
      </x:c>
      <x:c r="F20" s="13" t="str">
        <x:f>IF(ISBLANK(E20),"PENDENTE",IF(D20=E20,"COINCIDE","DIVERGE"))</x:f>
        <x:v>COINCIDE</x:v>
      </x:c>
      <x:c r="G20" s="17"/>
      <x:c r="H20" s="1" t="str">
        <x:v>EXATA</x:v>
      </x:c>
      <x:c r="I20" s="1"/>
      <x:c r="J20" s="1"/>
      <x:c r="K20" s="1"/>
      <x:c r="L20" s="1"/>
      <x:c r="M20" s="1"/>
      <x:c r="N20" s="1"/>
    </x:row>
    <x:row r="21" ht="35" customHeight="1">
      <x:c r="A21" s="1" t="str">
        <x:v>combinacao</x:v>
      </x:c>
      <x:c r="B21" s="1" t="str">
        <x:v>1|5</x:v>
      </x:c>
      <x:c r="C21" s="13" t="str">
        <x:v>cmm</x:v>
      </x:c>
      <x:c r="D21" s="15" t="n">
        <x:f>Conferencia!D23</x:f>
        <x:v>0</x:v>
      </x:c>
      <x:c r="E21" s="16" t="n">
        <x:v>0</x:v>
      </x:c>
      <x:c r="F21" s="13" t="str">
        <x:f>IF(ISBLANK(E21),"PENDENTE",IF(ABS(D21-E21)&lt;=Conferencia!$B$7,"COINCIDE","DIVERGE"))</x:f>
        <x:v>COINCIDE</x:v>
      </x:c>
      <x:c r="G21" s="17"/>
      <x:c r="H21" s="1" t="str">
        <x:v>TOLERÂNCIA</x:v>
      </x:c>
      <x:c r="I21" s="1"/>
      <x:c r="J21" s="1"/>
      <x:c r="K21" s="1"/>
      <x:c r="L21" s="1"/>
      <x:c r="M21" s="1"/>
      <x:c r="N21" s="1"/>
    </x:row>
    <x:row r="22" ht="35" customHeight="1">
      <x:c r="A22" s="1" t="str">
        <x:v>combinacao</x:v>
      </x:c>
      <x:c r="B22" s="1" t="str">
        <x:v>1|5</x:v>
      </x:c>
      <x:c r="C22" s="13" t="str">
        <x:v>situacao</x:v>
      </x:c>
      <x:c r="D22" s="15" t="str">
        <x:f>Conferencia!E23</x:f>
        <x:v>SEM_ESTOQUE_SEM_CONSUMO</x:v>
      </x:c>
      <x:c r="E22" s="16" t="str">
        <x:v>SEM_ESTOQUE_SEM_CONSUMO</x:v>
      </x:c>
      <x:c r="F22" s="13" t="str">
        <x:f>IF(ISBLANK(E22),"PENDENTE",IF(D22=E22,"COINCIDE","DIVERGE"))</x:f>
        <x:v>COINCIDE</x:v>
      </x:c>
      <x:c r="G22" s="17"/>
      <x:c r="H22" s="1" t="str">
        <x:v>EXATA</x:v>
      </x:c>
      <x:c r="I22" s="1"/>
      <x:c r="J22" s="1"/>
      <x:c r="K22" s="1"/>
      <x:c r="L22" s="1"/>
      <x:c r="M22" s="1"/>
      <x:c r="N22" s="1"/>
    </x:row>
    <x:row r="23" ht="35" customHeight="1">
      <x:c r="A23" s="1" t="str">
        <x:v>combinacao</x:v>
      </x:c>
      <x:c r="B23" s="1" t="str">
        <x:v>11|66</x:v>
      </x:c>
      <x:c r="C23" s="13" t="str">
        <x:v>quantidade</x:v>
      </x:c>
      <x:c r="D23" s="19" t="n">
        <x:f>Conferencia!C24</x:f>
        <x:v>14</x:v>
      </x:c>
      <x:c r="E23" s="20" t="n">
        <x:v>14</x:v>
      </x:c>
      <x:c r="F23" s="13" t="str">
        <x:f>IF(ISBLANK(E23),"PENDENTE",IF(D23=E23,"COINCIDE","DIVERGE"))</x:f>
        <x:v>COINCIDE</x:v>
      </x:c>
      <x:c r="G23" s="17"/>
      <x:c r="H23" s="1" t="str">
        <x:v>EXATA</x:v>
      </x:c>
      <x:c r="I23" s="1"/>
      <x:c r="J23" s="1"/>
      <x:c r="K23" s="1"/>
      <x:c r="L23" s="1"/>
      <x:c r="M23" s="1"/>
      <x:c r="N23" s="1"/>
    </x:row>
    <x:row r="24" ht="35" customHeight="1">
      <x:c r="A24" s="1" t="str">
        <x:v>combinacao</x:v>
      </x:c>
      <x:c r="B24" s="1" t="str">
        <x:v>11|66</x:v>
      </x:c>
      <x:c r="C24" s="13" t="str">
        <x:v>cmm</x:v>
      </x:c>
      <x:c r="D24" s="15" t="n">
        <x:f>Conferencia!D24</x:f>
        <x:v>0</x:v>
      </x:c>
      <x:c r="E24" s="16" t="n">
        <x:v>0</x:v>
      </x:c>
      <x:c r="F24" s="13" t="str">
        <x:f>IF(ISBLANK(E24),"PENDENTE",IF(ABS(D24-E24)&lt;=Conferencia!$B$7,"COINCIDE","DIVERGE"))</x:f>
        <x:v>COINCIDE</x:v>
      </x:c>
      <x:c r="G24" s="17"/>
      <x:c r="H24" s="1" t="str">
        <x:v>TOLERÂNCIA</x:v>
      </x:c>
      <x:c r="I24" s="1"/>
      <x:c r="J24" s="1"/>
      <x:c r="K24" s="1"/>
      <x:c r="L24" s="1"/>
      <x:c r="M24" s="1"/>
      <x:c r="N24" s="1"/>
    </x:row>
    <x:row r="25" ht="35" customHeight="1">
      <x:c r="A25" s="1" t="str">
        <x:v>combinacao</x:v>
      </x:c>
      <x:c r="B25" s="1" t="str">
        <x:v>11|66</x:v>
      </x:c>
      <x:c r="C25" s="13" t="str">
        <x:v>situacao</x:v>
      </x:c>
      <x:c r="D25" s="15" t="str">
        <x:f>Conferencia!E24</x:f>
        <x:v>ESTOQUE_SEM_CONSUMO</x:v>
      </x:c>
      <x:c r="E25" s="16" t="str">
        <x:v>ESTOQUE_SEM_CONSUMO</x:v>
      </x:c>
      <x:c r="F25" s="13" t="str">
        <x:f>IF(ISBLANK(E25),"PENDENTE",IF(D25=E25,"COINCIDE","DIVERGE"))</x:f>
        <x:v>COINCIDE</x:v>
      </x:c>
      <x:c r="G25" s="17"/>
      <x:c r="H25" s="1" t="str">
        <x:v>EXATA</x:v>
      </x:c>
      <x:c r="I25" s="1"/>
      <x:c r="J25" s="1"/>
      <x:c r="K25" s="1"/>
      <x:c r="L25" s="1"/>
      <x:c r="M25" s="1"/>
      <x:c r="N25" s="1"/>
    </x:row>
    <x:row r="26" ht="35" customHeight="1">
      <x:c r="A26" s="1" t="str">
        <x:v>combinacao</x:v>
      </x:c>
      <x:c r="B26" s="1" t="str">
        <x:v>7|66</x:v>
      </x:c>
      <x:c r="C26" s="13" t="str">
        <x:v>quantidade</x:v>
      </x:c>
      <x:c r="D26" s="19" t="n">
        <x:f>Conferencia!C25</x:f>
        <x:v>250</x:v>
      </x:c>
      <x:c r="E26" s="20" t="n">
        <x:v>250</x:v>
      </x:c>
      <x:c r="F26" s="13" t="str">
        <x:f>IF(ISBLANK(E26),"PENDENTE",IF(D26=E26,"COINCIDE","DIVERGE"))</x:f>
        <x:v>COINCIDE</x:v>
      </x:c>
      <x:c r="G26" s="17"/>
      <x:c r="H26" s="1" t="str">
        <x:v>EXATA</x:v>
      </x:c>
      <x:c r="I26" s="1"/>
      <x:c r="J26" s="1"/>
      <x:c r="K26" s="1"/>
      <x:c r="L26" s="1"/>
      <x:c r="M26" s="1"/>
      <x:c r="N26" s="1"/>
    </x:row>
    <x:row r="27" ht="35" customHeight="1">
      <x:c r="A27" s="1" t="str">
        <x:v>combinacao</x:v>
      </x:c>
      <x:c r="B27" s="1" t="str">
        <x:v>7|66</x:v>
      </x:c>
      <x:c r="C27" s="13" t="str">
        <x:v>cmm</x:v>
      </x:c>
      <x:c r="D27" s="15" t="n">
        <x:f>Conferencia!D25</x:f>
        <x:v>38.333333333333336</x:v>
      </x:c>
      <x:c r="E27" s="16" t="n">
        <x:v>38.333333333333336</x:v>
      </x:c>
      <x:c r="F27" s="13" t="str">
        <x:f>IF(ISBLANK(E27),"PENDENTE",IF(ABS(D27-E27)&lt;=Conferencia!$B$7,"COINCIDE","DIVERGE"))</x:f>
        <x:v>COINCIDE</x:v>
      </x:c>
      <x:c r="G27" s="17"/>
      <x:c r="H27" s="1" t="str">
        <x:v>TOLERÂNCIA</x:v>
      </x:c>
      <x:c r="I27" s="1"/>
      <x:c r="J27" s="1"/>
      <x:c r="K27" s="1"/>
      <x:c r="L27" s="1"/>
      <x:c r="M27" s="1"/>
      <x:c r="N27" s="1"/>
    </x:row>
    <x:row r="28" ht="35" customHeight="1">
      <x:c r="A28" s="1" t="str">
        <x:v>combinacao</x:v>
      </x:c>
      <x:c r="B28" s="1" t="str">
        <x:v>7|66</x:v>
      </x:c>
      <x:c r="C28" s="13" t="str">
        <x:v>situacao</x:v>
      </x:c>
      <x:c r="D28" s="15" t="str">
        <x:f>Conferencia!E25</x:f>
        <x:v>COM_ESTOQUE_E_CONSUMO</x:v>
      </x:c>
      <x:c r="E28" s="16" t="str">
        <x:v>COM_ESTOQUE_E_CONSUMO</x:v>
      </x:c>
      <x:c r="F28" s="13" t="str">
        <x:f>IF(ISBLANK(E28),"PENDENTE",IF(D28=E28,"COINCIDE","DIVERGE"))</x:f>
        <x:v>COINCIDE</x:v>
      </x:c>
      <x:c r="G28" s="17"/>
      <x:c r="H28" s="1" t="str">
        <x:v>EXATA</x:v>
      </x:c>
      <x:c r="I28" s="1"/>
      <x:c r="J28" s="1"/>
      <x:c r="K28" s="1"/>
      <x:c r="L28" s="1"/>
      <x:c r="M28" s="1"/>
      <x:c r="N28" s="1"/>
    </x:row>
    <x:row r="29" ht="35" customHeight="1">
      <x:c r="A29" s="1" t="str">
        <x:v>lote</x:v>
      </x:c>
      <x:c r="B29" s="1" t="str">
        <x:v>15</x:v>
      </x:c>
      <x:c r="C29" s="13" t="str">
        <x:v>id_unidade</x:v>
      </x:c>
      <x:c r="D29" s="19" t="n">
        <x:f>Lotes!B5</x:f>
        <x:v>1</x:v>
      </x:c>
      <x:c r="E29" s="20" t="n">
        <x:v>1</x:v>
      </x:c>
      <x:c r="F29" s="13" t="str">
        <x:f>IF(ISBLANK(E29),"PENDENTE",IF(D29=E29,"COINCIDE","DIVERGE"))</x:f>
        <x:v>COINCIDE</x:v>
      </x:c>
      <x:c r="G29" s="17"/>
      <x:c r="H29" s="1" t="str">
        <x:v>EXATA</x:v>
      </x:c>
      <x:c r="I29" s="1"/>
      <x:c r="J29" s="1"/>
      <x:c r="K29" s="1"/>
      <x:c r="L29" s="1"/>
      <x:c r="M29" s="1"/>
      <x:c r="N29" s="1"/>
    </x:row>
    <x:row r="30" ht="35" customHeight="1">
      <x:c r="A30" s="1" t="str">
        <x:v>lote</x:v>
      </x:c>
      <x:c r="B30" s="1" t="str">
        <x:v>15</x:v>
      </x:c>
      <x:c r="C30" s="13" t="str">
        <x:v>id_medicamento</x:v>
      </x:c>
      <x:c r="D30" s="19" t="n">
        <x:f>Lotes!C5</x:f>
        <x:v>6</x:v>
      </x:c>
      <x:c r="E30" s="20" t="n">
        <x:v>6</x:v>
      </x:c>
      <x:c r="F30" s="13" t="str">
        <x:f>IF(ISBLANK(E30),"PENDENTE",IF(D30=E30,"COINCIDE","DIVERGE"))</x:f>
        <x:v>COINCIDE</x:v>
      </x:c>
      <x:c r="G30" s="17"/>
      <x:c r="H30" s="1" t="str">
        <x:v>EXATA</x:v>
      </x:c>
      <x:c r="I30" s="1"/>
      <x:c r="J30" s="1"/>
      <x:c r="K30" s="1"/>
      <x:c r="L30" s="1"/>
      <x:c r="M30" s="1"/>
      <x:c r="N30" s="1"/>
    </x:row>
    <x:row r="31" ht="35" customHeight="1">
      <x:c r="A31" s="1" t="str">
        <x:v>lote</x:v>
      </x:c>
      <x:c r="B31" s="1" t="str">
        <x:v>15</x:v>
      </x:c>
      <x:c r="C31" s="13" t="str">
        <x:v>dias_ate_validade</x:v>
      </x:c>
      <x:c r="D31" s="19" t="n">
        <x:f>Lotes!F5</x:f>
        <x:v>372</x:v>
      </x:c>
      <x:c r="E31" s="20" t="n">
        <x:v>372</x:v>
      </x:c>
      <x:c r="F31" s="13" t="str">
        <x:f>IF(ISBLANK(E31),"PENDENTE",IF(D31=E31,"COINCIDE","DIVERGE"))</x:f>
        <x:v>COINCIDE</x:v>
      </x:c>
      <x:c r="G31" s="17"/>
      <x:c r="H31" s="1" t="str">
        <x:v>EXATA</x:v>
      </x:c>
      <x:c r="I31" s="1"/>
      <x:c r="J31" s="1"/>
      <x:c r="K31" s="1"/>
      <x:c r="L31" s="1"/>
      <x:c r="M31" s="1"/>
      <x:c r="N31" s="1"/>
    </x:row>
    <x:row r="32" ht="35" customHeight="1">
      <x:c r="A32" s="1" t="str">
        <x:v>lote</x:v>
      </x:c>
      <x:c r="B32" s="1" t="str">
        <x:v>15</x:v>
      </x:c>
      <x:c r="C32" s="13" t="str">
        <x:v>cmm</x:v>
      </x:c>
      <x:c r="D32" s="15" t="n">
        <x:f>Lotes!G5</x:f>
        <x:v>0</x:v>
      </x:c>
      <x:c r="E32" s="16" t="n">
        <x:v>0</x:v>
      </x:c>
      <x:c r="F32" s="13" t="str">
        <x:f>IF(ISBLANK(E32),"PENDENTE",IF(ABS(D32-E32)&lt;=Conferencia!$B$7,"COINCIDE","DIVERGE"))</x:f>
        <x:v>COINCIDE</x:v>
      </x:c>
      <x:c r="G32" s="17"/>
      <x:c r="H32" s="1" t="str">
        <x:v>TOLERÂNCIA</x:v>
      </x:c>
      <x:c r="I32" s="1"/>
      <x:c r="J32" s="1"/>
      <x:c r="K32" s="1"/>
      <x:c r="L32" s="1"/>
      <x:c r="M32" s="1"/>
      <x:c r="N32" s="1"/>
    </x:row>
    <x:row r="33" ht="35" customHeight="1">
      <x:c r="A33" s="1" t="str">
        <x:v>lote</x:v>
      </x:c>
      <x:c r="B33" s="1" t="str">
        <x:v>15</x:v>
      </x:c>
      <x:c r="C33" s="13" t="str">
        <x:v>capacidade_acumulada</x:v>
      </x:c>
      <x:c r="D33" s="15" t="n">
        <x:f>Lotes!H5</x:f>
        <x:v>0</x:v>
      </x:c>
      <x:c r="E33" s="16" t="n">
        <x:v>0</x:v>
      </x:c>
      <x:c r="F33" s="13" t="str">
        <x:f>IF(ISBLANK(E33),"PENDENTE",IF(ABS(D33-E33)&lt;=Conferencia!$B$7,"COINCIDE","DIVERGE"))</x:f>
        <x:v>COINCIDE</x:v>
      </x:c>
      <x:c r="G33" s="17"/>
      <x:c r="H33" s="1" t="str">
        <x:v>TOLERÂNCIA</x:v>
      </x:c>
      <x:c r="I33" s="1"/>
      <x:c r="J33" s="1"/>
      <x:c r="K33" s="1"/>
      <x:c r="L33" s="1"/>
      <x:c r="M33" s="1"/>
      <x:c r="N33" s="1"/>
    </x:row>
    <x:row r="34" ht="35" customHeight="1">
      <x:c r="A34" s="1" t="str">
        <x:v>lote</x:v>
      </x:c>
      <x:c r="B34" s="1" t="str">
        <x:v>15</x:v>
      </x:c>
      <x:c r="C34" s="13" t="str">
        <x:v>consumo_anterior</x:v>
      </x:c>
      <x:c r="D34" s="15" t="n">
        <x:f>Lotes!I5</x:f>
        <x:v>0</x:v>
      </x:c>
      <x:c r="E34" s="16" t="n">
        <x:v>0</x:v>
      </x:c>
      <x:c r="F34" s="13" t="str">
        <x:f>IF(ISBLANK(E34),"PENDENTE",IF(ABS(D34-E34)&lt;=Conferencia!$B$7,"COINCIDE","DIVERGE"))</x:f>
        <x:v>COINCIDE</x:v>
      </x:c>
      <x:c r="G34" s="17"/>
      <x:c r="H34" s="1" t="str">
        <x:v>TOLERÂNCIA</x:v>
      </x:c>
      <x:c r="I34" s="1"/>
      <x:c r="J34" s="1"/>
      <x:c r="K34" s="1"/>
      <x:c r="L34" s="1"/>
      <x:c r="M34" s="1"/>
      <x:c r="N34" s="1"/>
    </x:row>
    <x:row r="35" ht="35" customHeight="1">
      <x:c r="A35" s="1" t="str">
        <x:v>lote</x:v>
      </x:c>
      <x:c r="B35" s="1" t="str">
        <x:v>15</x:v>
      </x:c>
      <x:c r="C35" s="13" t="str">
        <x:v>consumivel</x:v>
      </x:c>
      <x:c r="D35" s="15" t="n">
        <x:f>Lotes!J5</x:f>
        <x:v>0</x:v>
      </x:c>
      <x:c r="E35" s="16" t="n">
        <x:v>0</x:v>
      </x:c>
      <x:c r="F35" s="13" t="str">
        <x:f>IF(ISBLANK(E35),"PENDENTE",IF(ABS(D35-E35)&lt;=Conferencia!$B$7,"COINCIDE","DIVERGE"))</x:f>
        <x:v>COINCIDE</x:v>
      </x:c>
      <x:c r="G35" s="17"/>
      <x:c r="H35" s="1" t="str">
        <x:v>TOLERÂNCIA</x:v>
      </x:c>
      <x:c r="I35" s="1"/>
      <x:c r="J35" s="1"/>
      <x:c r="K35" s="1"/>
      <x:c r="L35" s="1"/>
      <x:c r="M35" s="1"/>
      <x:c r="N35" s="1"/>
    </x:row>
    <x:row r="36" ht="35" customHeight="1">
      <x:c r="A36" s="1" t="str">
        <x:v>lote</x:v>
      </x:c>
      <x:c r="B36" s="1" t="str">
        <x:v>15</x:v>
      </x:c>
      <x:c r="C36" s="13" t="str">
        <x:v>risco</x:v>
      </x:c>
      <x:c r="D36" s="15" t="n">
        <x:f>Lotes!K5</x:f>
        <x:v>1480</x:v>
      </x:c>
      <x:c r="E36" s="16" t="n">
        <x:v>1480</x:v>
      </x:c>
      <x:c r="F36" s="13" t="str">
        <x:f>IF(ISBLANK(E36),"PENDENTE",IF(ABS(D36-E36)&lt;=Conferencia!$B$7,"COINCIDE","DIVERGE"))</x:f>
        <x:v>COINCIDE</x:v>
      </x:c>
      <x:c r="G36" s="17"/>
      <x:c r="H36" s="1" t="str">
        <x:v>TOLERÂNCIA</x:v>
      </x:c>
      <x:c r="I36" s="1"/>
      <x:c r="J36" s="1"/>
      <x:c r="K36" s="1"/>
      <x:c r="L36" s="1"/>
      <x:c r="M36" s="1"/>
      <x:c r="N36" s="1"/>
    </x:row>
    <x:row r="37" ht="35" customHeight="1">
      <x:c r="A37" s="1" t="str">
        <x:v>lote</x:v>
      </x:c>
      <x:c r="B37" s="1" t="str">
        <x:v>14</x:v>
      </x:c>
      <x:c r="C37" s="13" t="str">
        <x:v>id_unidade</x:v>
      </x:c>
      <x:c r="D37" s="19" t="n">
        <x:f>Lotes!B6</x:f>
        <x:v>1</x:v>
      </x:c>
      <x:c r="E37" s="20" t="n">
        <x:v>1</x:v>
      </x:c>
      <x:c r="F37" s="13" t="str">
        <x:f>IF(ISBLANK(E37),"PENDENTE",IF(D37=E37,"COINCIDE","DIVERGE"))</x:f>
        <x:v>COINCIDE</x:v>
      </x:c>
      <x:c r="G37" s="17"/>
      <x:c r="H37" s="1" t="str">
        <x:v>EXATA</x:v>
      </x:c>
      <x:c r="I37" s="1"/>
      <x:c r="J37" s="1"/>
      <x:c r="K37" s="1"/>
      <x:c r="L37" s="1"/>
      <x:c r="M37" s="1"/>
      <x:c r="N37" s="1"/>
    </x:row>
    <x:row r="38" ht="35" customHeight="1">
      <x:c r="A38" s="1" t="str">
        <x:v>lote</x:v>
      </x:c>
      <x:c r="B38" s="1" t="str">
        <x:v>14</x:v>
      </x:c>
      <x:c r="C38" s="13" t="str">
        <x:v>id_medicamento</x:v>
      </x:c>
      <x:c r="D38" s="19" t="n">
        <x:f>Lotes!C6</x:f>
        <x:v>6</x:v>
      </x:c>
      <x:c r="E38" s="20" t="n">
        <x:v>6</x:v>
      </x:c>
      <x:c r="F38" s="13" t="str">
        <x:f>IF(ISBLANK(E38),"PENDENTE",IF(D38=E38,"COINCIDE","DIVERGE"))</x:f>
        <x:v>COINCIDE</x:v>
      </x:c>
      <x:c r="G38" s="17"/>
      <x:c r="H38" s="1" t="str">
        <x:v>EXATA</x:v>
      </x:c>
      <x:c r="I38" s="1"/>
      <x:c r="J38" s="1"/>
      <x:c r="K38" s="1"/>
      <x:c r="L38" s="1"/>
      <x:c r="M38" s="1"/>
      <x:c r="N38" s="1"/>
    </x:row>
    <x:row r="39" ht="35" customHeight="1">
      <x:c r="A39" s="1" t="str">
        <x:v>lote</x:v>
      </x:c>
      <x:c r="B39" s="1" t="str">
        <x:v>14</x:v>
      </x:c>
      <x:c r="C39" s="13" t="str">
        <x:v>dias_ate_validade</x:v>
      </x:c>
      <x:c r="D39" s="19" t="n">
        <x:f>Lotes!F6</x:f>
        <x:v>415</x:v>
      </x:c>
      <x:c r="E39" s="20" t="n">
        <x:v>415</x:v>
      </x:c>
      <x:c r="F39" s="13" t="str">
        <x:f>IF(ISBLANK(E39),"PENDENTE",IF(D39=E39,"COINCIDE","DIVERGE"))</x:f>
        <x:v>COINCIDE</x:v>
      </x:c>
      <x:c r="G39" s="17"/>
      <x:c r="H39" s="1" t="str">
        <x:v>EXATA</x:v>
      </x:c>
      <x:c r="I39" s="1"/>
      <x:c r="J39" s="1"/>
      <x:c r="K39" s="1"/>
      <x:c r="L39" s="1"/>
      <x:c r="M39" s="1"/>
      <x:c r="N39" s="1"/>
    </x:row>
    <x:row r="40" ht="35" customHeight="1">
      <x:c r="A40" s="1" t="str">
        <x:v>lote</x:v>
      </x:c>
      <x:c r="B40" s="1" t="str">
        <x:v>14</x:v>
      </x:c>
      <x:c r="C40" s="13" t="str">
        <x:v>cmm</x:v>
      </x:c>
      <x:c r="D40" s="15" t="n">
        <x:f>Lotes!G6</x:f>
        <x:v>0</x:v>
      </x:c>
      <x:c r="E40" s="16" t="n">
        <x:v>0</x:v>
      </x:c>
      <x:c r="F40" s="13" t="str">
        <x:f>IF(ISBLANK(E40),"PENDENTE",IF(ABS(D40-E40)&lt;=Conferencia!$B$7,"COINCIDE","DIVERGE"))</x:f>
        <x:v>COINCIDE</x:v>
      </x:c>
      <x:c r="G40" s="17"/>
      <x:c r="H40" s="1" t="str">
        <x:v>TOLERÂNCIA</x:v>
      </x:c>
      <x:c r="I40" s="1"/>
      <x:c r="J40" s="1"/>
      <x:c r="K40" s="1"/>
      <x:c r="L40" s="1"/>
      <x:c r="M40" s="1"/>
      <x:c r="N40" s="1"/>
    </x:row>
    <x:row r="41" ht="35" customHeight="1">
      <x:c r="A41" s="1" t="str">
        <x:v>lote</x:v>
      </x:c>
      <x:c r="B41" s="1" t="str">
        <x:v>14</x:v>
      </x:c>
      <x:c r="C41" s="13" t="str">
        <x:v>capacidade_acumulada</x:v>
      </x:c>
      <x:c r="D41" s="15" t="n">
        <x:f>Lotes!H6</x:f>
        <x:v>0</x:v>
      </x:c>
      <x:c r="E41" s="16" t="n">
        <x:v>0</x:v>
      </x:c>
      <x:c r="F41" s="13" t="str">
        <x:f>IF(ISBLANK(E41),"PENDENTE",IF(ABS(D41-E41)&lt;=Conferencia!$B$7,"COINCIDE","DIVERGE"))</x:f>
        <x:v>COINCIDE</x:v>
      </x:c>
      <x:c r="G41" s="17"/>
      <x:c r="H41" s="1" t="str">
        <x:v>TOLERÂNCIA</x:v>
      </x:c>
      <x:c r="I41" s="1"/>
      <x:c r="J41" s="1"/>
      <x:c r="K41" s="1"/>
      <x:c r="L41" s="1"/>
      <x:c r="M41" s="1"/>
      <x:c r="N41" s="1"/>
    </x:row>
    <x:row r="42" ht="35" customHeight="1">
      <x:c r="A42" s="1" t="str">
        <x:v>lote</x:v>
      </x:c>
      <x:c r="B42" s="1" t="str">
        <x:v>14</x:v>
      </x:c>
      <x:c r="C42" s="13" t="str">
        <x:v>consumo_anterior</x:v>
      </x:c>
      <x:c r="D42" s="15" t="n">
        <x:f>Lotes!I6</x:f>
        <x:v>0</x:v>
      </x:c>
      <x:c r="E42" s="16" t="n">
        <x:v>0</x:v>
      </x:c>
      <x:c r="F42" s="13" t="str">
        <x:f>IF(ISBLANK(E42),"PENDENTE",IF(ABS(D42-E42)&lt;=Conferencia!$B$7,"COINCIDE","DIVERGE"))</x:f>
        <x:v>COINCIDE</x:v>
      </x:c>
      <x:c r="G42" s="17"/>
      <x:c r="H42" s="1" t="str">
        <x:v>TOLERÂNCIA</x:v>
      </x:c>
      <x:c r="I42" s="1"/>
      <x:c r="J42" s="1"/>
      <x:c r="K42" s="1"/>
      <x:c r="L42" s="1"/>
      <x:c r="M42" s="1"/>
      <x:c r="N42" s="1"/>
    </x:row>
    <x:row r="43" ht="35" customHeight="1">
      <x:c r="A43" s="1" t="str">
        <x:v>lote</x:v>
      </x:c>
      <x:c r="B43" s="1" t="str">
        <x:v>14</x:v>
      </x:c>
      <x:c r="C43" s="13" t="str">
        <x:v>consumivel</x:v>
      </x:c>
      <x:c r="D43" s="15" t="n">
        <x:f>Lotes!J6</x:f>
        <x:v>0</x:v>
      </x:c>
      <x:c r="E43" s="16" t="n">
        <x:v>0</x:v>
      </x:c>
      <x:c r="F43" s="13" t="str">
        <x:f>IF(ISBLANK(E43),"PENDENTE",IF(ABS(D43-E43)&lt;=Conferencia!$B$7,"COINCIDE","DIVERGE"))</x:f>
        <x:v>COINCIDE</x:v>
      </x:c>
      <x:c r="G43" s="17"/>
      <x:c r="H43" s="1" t="str">
        <x:v>TOLERÂNCIA</x:v>
      </x:c>
      <x:c r="I43" s="1"/>
      <x:c r="J43" s="1"/>
      <x:c r="K43" s="1"/>
      <x:c r="L43" s="1"/>
      <x:c r="M43" s="1"/>
      <x:c r="N43" s="1"/>
    </x:row>
    <x:row r="44" ht="35" customHeight="1">
      <x:c r="A44" s="1" t="str">
        <x:v>lote</x:v>
      </x:c>
      <x:c r="B44" s="1" t="str">
        <x:v>14</x:v>
      </x:c>
      <x:c r="C44" s="13" t="str">
        <x:v>risco</x:v>
      </x:c>
      <x:c r="D44" s="15" t="n">
        <x:f>Lotes!K6</x:f>
        <x:v>3440</x:v>
      </x:c>
      <x:c r="E44" s="16" t="n">
        <x:v>3440</x:v>
      </x:c>
      <x:c r="F44" s="13" t="str">
        <x:f>IF(ISBLANK(E44),"PENDENTE",IF(ABS(D44-E44)&lt;=Conferencia!$B$7,"COINCIDE","DIVERGE"))</x:f>
        <x:v>COINCIDE</x:v>
      </x:c>
      <x:c r="G44" s="17"/>
      <x:c r="H44" s="1" t="str">
        <x:v>TOLERÂNCIA</x:v>
      </x:c>
      <x:c r="I44" s="1"/>
      <x:c r="J44" s="1"/>
      <x:c r="K44" s="1"/>
      <x:c r="L44" s="1"/>
      <x:c r="M44" s="1"/>
      <x:c r="N44" s="1"/>
    </x:row>
    <x:row r="45" ht="35" customHeight="1">
      <x:c r="A45" s="1" t="str">
        <x:v>lote</x:v>
      </x:c>
      <x:c r="B45" s="1" t="str">
        <x:v>108</x:v>
      </x:c>
      <x:c r="C45" s="13" t="str">
        <x:v>id_unidade</x:v>
      </x:c>
      <x:c r="D45" s="19" t="n">
        <x:f>Lotes!B7</x:f>
        <x:v>1</x:v>
      </x:c>
      <x:c r="E45" s="20" t="n">
        <x:v>1</x:v>
      </x:c>
      <x:c r="F45" s="13" t="str">
        <x:f>IF(ISBLANK(E45),"PENDENTE",IF(D45=E45,"COINCIDE","DIVERGE"))</x:f>
        <x:v>COINCIDE</x:v>
      </x:c>
      <x:c r="G45" s="17"/>
      <x:c r="H45" s="1" t="str">
        <x:v>EXATA</x:v>
      </x:c>
      <x:c r="I45" s="1"/>
      <x:c r="J45" s="1"/>
      <x:c r="K45" s="1"/>
      <x:c r="L45" s="1"/>
      <x:c r="M45" s="1"/>
      <x:c r="N45" s="1"/>
    </x:row>
    <x:row r="46" ht="35" customHeight="1">
      <x:c r="A46" s="1" t="str">
        <x:v>lote</x:v>
      </x:c>
      <x:c r="B46" s="1" t="str">
        <x:v>108</x:v>
      </x:c>
      <x:c r="C46" s="13" t="str">
        <x:v>id_medicamento</x:v>
      </x:c>
      <x:c r="D46" s="19" t="n">
        <x:f>Lotes!C7</x:f>
        <x:v>97</x:v>
      </x:c>
      <x:c r="E46" s="20" t="n">
        <x:v>97</x:v>
      </x:c>
      <x:c r="F46" s="13" t="str">
        <x:f>IF(ISBLANK(E46),"PENDENTE",IF(D46=E46,"COINCIDE","DIVERGE"))</x:f>
        <x:v>COINCIDE</x:v>
      </x:c>
      <x:c r="G46" s="17"/>
      <x:c r="H46" s="1" t="str">
        <x:v>EXATA</x:v>
      </x:c>
      <x:c r="I46" s="1"/>
      <x:c r="J46" s="1"/>
      <x:c r="K46" s="1"/>
      <x:c r="L46" s="1"/>
      <x:c r="M46" s="1"/>
      <x:c r="N46" s="1"/>
    </x:row>
    <x:row r="47" ht="35" customHeight="1">
      <x:c r="A47" s="1" t="str">
        <x:v>lote</x:v>
      </x:c>
      <x:c r="B47" s="1" t="str">
        <x:v>108</x:v>
      </x:c>
      <x:c r="C47" s="13" t="str">
        <x:v>dias_ate_validade</x:v>
      </x:c>
      <x:c r="D47" s="19" t="n">
        <x:f>Lotes!F7</x:f>
        <x:v>71</x:v>
      </x:c>
      <x:c r="E47" s="20" t="n">
        <x:v>71</x:v>
      </x:c>
      <x:c r="F47" s="13" t="str">
        <x:f>IF(ISBLANK(E47),"PENDENTE",IF(D47=E47,"COINCIDE","DIVERGE"))</x:f>
        <x:v>COINCIDE</x:v>
      </x:c>
      <x:c r="G47" s="17"/>
      <x:c r="H47" s="1" t="str">
        <x:v>EXATA</x:v>
      </x:c>
      <x:c r="I47" s="1"/>
      <x:c r="J47" s="1"/>
      <x:c r="K47" s="1"/>
      <x:c r="L47" s="1"/>
      <x:c r="M47" s="1"/>
      <x:c r="N47" s="1"/>
    </x:row>
    <x:row r="48" ht="35" customHeight="1">
      <x:c r="A48" s="1" t="str">
        <x:v>lote</x:v>
      </x:c>
      <x:c r="B48" s="1" t="str">
        <x:v>108</x:v>
      </x:c>
      <x:c r="C48" s="13" t="str">
        <x:v>cmm</x:v>
      </x:c>
      <x:c r="D48" s="15" t="n">
        <x:f>Lotes!G7</x:f>
        <x:v>40.333333333333336</x:v>
      </x:c>
      <x:c r="E48" s="16" t="n">
        <x:v>40.333333333333336</x:v>
      </x:c>
      <x:c r="F48" s="13" t="str">
        <x:f>IF(ISBLANK(E48),"PENDENTE",IF(ABS(D48-E48)&lt;=Conferencia!$B$7,"COINCIDE","DIVERGE"))</x:f>
        <x:v>COINCIDE</x:v>
      </x:c>
      <x:c r="G48" s="17"/>
      <x:c r="H48" s="1" t="str">
        <x:v>TOLERÂNCIA</x:v>
      </x:c>
      <x:c r="I48" s="1"/>
      <x:c r="J48" s="1"/>
      <x:c r="K48" s="1"/>
      <x:c r="L48" s="1"/>
      <x:c r="M48" s="1"/>
      <x:c r="N48" s="1"/>
    </x:row>
    <x:row r="49" ht="35" customHeight="1">
      <x:c r="A49" s="1" t="str">
        <x:v>lote</x:v>
      </x:c>
      <x:c r="B49" s="1" t="str">
        <x:v>108</x:v>
      </x:c>
      <x:c r="C49" s="13" t="str">
        <x:v>capacidade_acumulada</x:v>
      </x:c>
      <x:c r="D49" s="15" t="n">
        <x:f>Lotes!H7</x:f>
        <x:v>95.45555555555556</x:v>
      </x:c>
      <x:c r="E49" s="16" t="n">
        <x:v>95.45555555555556</x:v>
      </x:c>
      <x:c r="F49" s="13" t="str">
        <x:f>IF(ISBLANK(E49),"PENDENTE",IF(ABS(D49-E49)&lt;=Conferencia!$B$7,"COINCIDE","DIVERGE"))</x:f>
        <x:v>COINCIDE</x:v>
      </x:c>
      <x:c r="G49" s="17"/>
      <x:c r="H49" s="1" t="str">
        <x:v>TOLERÂNCIA</x:v>
      </x:c>
      <x:c r="I49" s="1"/>
      <x:c r="J49" s="1"/>
      <x:c r="K49" s="1"/>
      <x:c r="L49" s="1"/>
      <x:c r="M49" s="1"/>
      <x:c r="N49" s="1"/>
    </x:row>
    <x:row r="50" ht="35" customHeight="1">
      <x:c r="A50" s="1" t="str">
        <x:v>lote</x:v>
      </x:c>
      <x:c r="B50" s="1" t="str">
        <x:v>108</x:v>
      </x:c>
      <x:c r="C50" s="13" t="str">
        <x:v>consumo_anterior</x:v>
      </x:c>
      <x:c r="D50" s="15" t="n">
        <x:f>Lotes!I7</x:f>
        <x:v>0</x:v>
      </x:c>
      <x:c r="E50" s="16" t="n">
        <x:v>0</x:v>
      </x:c>
      <x:c r="F50" s="13" t="str">
        <x:f>IF(ISBLANK(E50),"PENDENTE",IF(ABS(D50-E50)&lt;=Conferencia!$B$7,"COINCIDE","DIVERGE"))</x:f>
        <x:v>COINCIDE</x:v>
      </x:c>
      <x:c r="G50" s="17"/>
      <x:c r="H50" s="1" t="str">
        <x:v>TOLERÂNCIA</x:v>
      </x:c>
      <x:c r="I50" s="1"/>
      <x:c r="J50" s="1"/>
      <x:c r="K50" s="1"/>
      <x:c r="L50" s="1"/>
      <x:c r="M50" s="1"/>
      <x:c r="N50" s="1"/>
    </x:row>
    <x:row r="51" ht="35" customHeight="1">
      <x:c r="A51" s="1" t="str">
        <x:v>lote</x:v>
      </x:c>
      <x:c r="B51" s="1" t="str">
        <x:v>108</x:v>
      </x:c>
      <x:c r="C51" s="13" t="str">
        <x:v>consumivel</x:v>
      </x:c>
      <x:c r="D51" s="15" t="n">
        <x:f>Lotes!J7</x:f>
        <x:v>2</x:v>
      </x:c>
      <x:c r="E51" s="16" t="n">
        <x:v>2</x:v>
      </x:c>
      <x:c r="F51" s="13" t="str">
        <x:f>IF(ISBLANK(E51),"PENDENTE",IF(ABS(D51-E51)&lt;=Conferencia!$B$7,"COINCIDE","DIVERGE"))</x:f>
        <x:v>COINCIDE</x:v>
      </x:c>
      <x:c r="G51" s="17"/>
      <x:c r="H51" s="1" t="str">
        <x:v>TOLERÂNCIA</x:v>
      </x:c>
      <x:c r="I51" s="1"/>
      <x:c r="J51" s="1"/>
      <x:c r="K51" s="1"/>
      <x:c r="L51" s="1"/>
      <x:c r="M51" s="1"/>
      <x:c r="N51" s="1"/>
    </x:row>
    <x:row r="52" ht="35" customHeight="1">
      <x:c r="A52" s="1" t="str">
        <x:v>lote</x:v>
      </x:c>
      <x:c r="B52" s="1" t="str">
        <x:v>108</x:v>
      </x:c>
      <x:c r="C52" s="13" t="str">
        <x:v>risco</x:v>
      </x:c>
      <x:c r="D52" s="15" t="n">
        <x:f>Lotes!K7</x:f>
        <x:v>0</x:v>
      </x:c>
      <x:c r="E52" s="16" t="n">
        <x:v>0</x:v>
      </x:c>
      <x:c r="F52" s="13" t="str">
        <x:f>IF(ISBLANK(E52),"PENDENTE",IF(ABS(D52-E52)&lt;=Conferencia!$B$7,"COINCIDE","DIVERGE"))</x:f>
        <x:v>COINCIDE</x:v>
      </x:c>
      <x:c r="G52" s="17"/>
      <x:c r="H52" s="1" t="str">
        <x:v>TOLERÂNCIA</x:v>
      </x:c>
      <x:c r="I52" s="1"/>
      <x:c r="J52" s="1"/>
      <x:c r="K52" s="1"/>
      <x:c r="L52" s="1"/>
      <x:c r="M52" s="1"/>
      <x:c r="N52" s="1"/>
    </x:row>
    <x:row r="53" ht="35" customHeight="1">
      <x:c r="A53" s="1" t="str">
        <x:v>lote</x:v>
      </x:c>
      <x:c r="B53" s="1" t="str">
        <x:v>109</x:v>
      </x:c>
      <x:c r="C53" s="13" t="str">
        <x:v>id_unidade</x:v>
      </x:c>
      <x:c r="D53" s="19" t="n">
        <x:f>Lotes!B8</x:f>
        <x:v>1</x:v>
      </x:c>
      <x:c r="E53" s="20" t="n">
        <x:v>1</x:v>
      </x:c>
      <x:c r="F53" s="13" t="str">
        <x:f>IF(ISBLANK(E53),"PENDENTE",IF(D53=E53,"COINCIDE","DIVERGE"))</x:f>
        <x:v>COINCIDE</x:v>
      </x:c>
      <x:c r="G53" s="17"/>
      <x:c r="H53" s="1" t="str">
        <x:v>EXATA</x:v>
      </x:c>
      <x:c r="I53" s="1"/>
      <x:c r="J53" s="1"/>
      <x:c r="K53" s="1"/>
      <x:c r="L53" s="1"/>
      <x:c r="M53" s="1"/>
      <x:c r="N53" s="1"/>
    </x:row>
    <x:row r="54" ht="35" customHeight="1">
      <x:c r="A54" s="1" t="str">
        <x:v>lote</x:v>
      </x:c>
      <x:c r="B54" s="1" t="str">
        <x:v>109</x:v>
      </x:c>
      <x:c r="C54" s="13" t="str">
        <x:v>id_medicamento</x:v>
      </x:c>
      <x:c r="D54" s="19" t="n">
        <x:f>Lotes!C8</x:f>
        <x:v>97</x:v>
      </x:c>
      <x:c r="E54" s="20" t="n">
        <x:v>97</x:v>
      </x:c>
      <x:c r="F54" s="13" t="str">
        <x:f>IF(ISBLANK(E54),"PENDENTE",IF(D54=E54,"COINCIDE","DIVERGE"))</x:f>
        <x:v>COINCIDE</x:v>
      </x:c>
      <x:c r="G54" s="17"/>
      <x:c r="H54" s="1" t="str">
        <x:v>EXATA</x:v>
      </x:c>
      <x:c r="I54" s="1"/>
      <x:c r="J54" s="1"/>
      <x:c r="K54" s="1"/>
      <x:c r="L54" s="1"/>
      <x:c r="M54" s="1"/>
      <x:c r="N54" s="1"/>
    </x:row>
    <x:row r="55" ht="35" customHeight="1">
      <x:c r="A55" s="1" t="str">
        <x:v>lote</x:v>
      </x:c>
      <x:c r="B55" s="1" t="str">
        <x:v>109</x:v>
      </x:c>
      <x:c r="C55" s="13" t="str">
        <x:v>dias_ate_validade</x:v>
      </x:c>
      <x:c r="D55" s="19" t="n">
        <x:f>Lotes!F8</x:f>
        <x:v>318</x:v>
      </x:c>
      <x:c r="E55" s="20" t="n">
        <x:v>318</x:v>
      </x:c>
      <x:c r="F55" s="13" t="str">
        <x:f>IF(ISBLANK(E55),"PENDENTE",IF(D55=E55,"COINCIDE","DIVERGE"))</x:f>
        <x:v>COINCIDE</x:v>
      </x:c>
      <x:c r="G55" s="17"/>
      <x:c r="H55" s="1" t="str">
        <x:v>EXATA</x:v>
      </x:c>
      <x:c r="I55" s="1"/>
      <x:c r="J55" s="1"/>
      <x:c r="K55" s="1"/>
      <x:c r="L55" s="1"/>
      <x:c r="M55" s="1"/>
      <x:c r="N55" s="1"/>
    </x:row>
    <x:row r="56" ht="35" customHeight="1">
      <x:c r="A56" s="1" t="str">
        <x:v>lote</x:v>
      </x:c>
      <x:c r="B56" s="1" t="str">
        <x:v>109</x:v>
      </x:c>
      <x:c r="C56" s="13" t="str">
        <x:v>cmm</x:v>
      </x:c>
      <x:c r="D56" s="15" t="n">
        <x:f>Lotes!G8</x:f>
        <x:v>40.333333333333336</x:v>
      </x:c>
      <x:c r="E56" s="16" t="n">
        <x:v>40.333333333333336</x:v>
      </x:c>
      <x:c r="F56" s="13" t="str">
        <x:f>IF(ISBLANK(E56),"PENDENTE",IF(ABS(D56-E56)&lt;=Conferencia!$B$7,"COINCIDE","DIVERGE"))</x:f>
        <x:v>COINCIDE</x:v>
      </x:c>
      <x:c r="G56" s="17"/>
      <x:c r="H56" s="1" t="str">
        <x:v>TOLERÂNCIA</x:v>
      </x:c>
      <x:c r="I56" s="1"/>
      <x:c r="J56" s="1"/>
      <x:c r="K56" s="1"/>
      <x:c r="L56" s="1"/>
      <x:c r="M56" s="1"/>
      <x:c r="N56" s="1"/>
    </x:row>
    <x:row r="57" ht="35" customHeight="1">
      <x:c r="A57" s="1" t="str">
        <x:v>lote</x:v>
      </x:c>
      <x:c r="B57" s="1" t="str">
        <x:v>109</x:v>
      </x:c>
      <x:c r="C57" s="13" t="str">
        <x:v>capacidade_acumulada</x:v>
      </x:c>
      <x:c r="D57" s="15" t="n">
        <x:f>Lotes!H8</x:f>
        <x:v>427.53333333333336</x:v>
      </x:c>
      <x:c r="E57" s="16" t="n">
        <x:v>427.53333333333336</x:v>
      </x:c>
      <x:c r="F57" s="13" t="str">
        <x:f>IF(ISBLANK(E57),"PENDENTE",IF(ABS(D57-E57)&lt;=Conferencia!$B$7,"COINCIDE","DIVERGE"))</x:f>
        <x:v>COINCIDE</x:v>
      </x:c>
      <x:c r="G57" s="17"/>
      <x:c r="H57" s="1" t="str">
        <x:v>TOLERÂNCIA</x:v>
      </x:c>
      <x:c r="I57" s="1"/>
      <x:c r="J57" s="1"/>
      <x:c r="K57" s="1"/>
      <x:c r="L57" s="1"/>
      <x:c r="M57" s="1"/>
      <x:c r="N57" s="1"/>
    </x:row>
    <x:row r="58" ht="35" customHeight="1">
      <x:c r="A58" s="1" t="str">
        <x:v>lote</x:v>
      </x:c>
      <x:c r="B58" s="1" t="str">
        <x:v>109</x:v>
      </x:c>
      <x:c r="C58" s="13" t="str">
        <x:v>consumo_anterior</x:v>
      </x:c>
      <x:c r="D58" s="15" t="n">
        <x:f>Lotes!I8</x:f>
        <x:v>2</x:v>
      </x:c>
      <x:c r="E58" s="16" t="n">
        <x:v>2</x:v>
      </x:c>
      <x:c r="F58" s="13" t="str">
        <x:f>IF(ISBLANK(E58),"PENDENTE",IF(ABS(D58-E58)&lt;=Conferencia!$B$7,"COINCIDE","DIVERGE"))</x:f>
        <x:v>COINCIDE</x:v>
      </x:c>
      <x:c r="G58" s="17"/>
      <x:c r="H58" s="1" t="str">
        <x:v>TOLERÂNCIA</x:v>
      </x:c>
      <x:c r="I58" s="1"/>
      <x:c r="J58" s="1"/>
      <x:c r="K58" s="1"/>
      <x:c r="L58" s="1"/>
      <x:c r="M58" s="1"/>
      <x:c r="N58" s="1"/>
    </x:row>
    <x:row r="59" ht="35" customHeight="1">
      <x:c r="A59" s="1" t="str">
        <x:v>lote</x:v>
      </x:c>
      <x:c r="B59" s="1" t="str">
        <x:v>109</x:v>
      </x:c>
      <x:c r="C59" s="13" t="str">
        <x:v>consumivel</x:v>
      </x:c>
      <x:c r="D59" s="15" t="n">
        <x:f>Lotes!J8</x:f>
        <x:v>4</x:v>
      </x:c>
      <x:c r="E59" s="16" t="n">
        <x:v>4</x:v>
      </x:c>
      <x:c r="F59" s="13" t="str">
        <x:f>IF(ISBLANK(E59),"PENDENTE",IF(ABS(D59-E59)&lt;=Conferencia!$B$7,"COINCIDE","DIVERGE"))</x:f>
        <x:v>COINCIDE</x:v>
      </x:c>
      <x:c r="G59" s="17"/>
      <x:c r="H59" s="1" t="str">
        <x:v>TOLERÂNCIA</x:v>
      </x:c>
      <x:c r="I59" s="1"/>
      <x:c r="J59" s="1"/>
      <x:c r="K59" s="1"/>
      <x:c r="L59" s="1"/>
      <x:c r="M59" s="1"/>
      <x:c r="N59" s="1"/>
    </x:row>
    <x:row r="60" ht="35" customHeight="1">
      <x:c r="A60" s="1" t="str">
        <x:v>lote</x:v>
      </x:c>
      <x:c r="B60" s="1" t="str">
        <x:v>109</x:v>
      </x:c>
      <x:c r="C60" s="13" t="str">
        <x:v>risco</x:v>
      </x:c>
      <x:c r="D60" s="15" t="n">
        <x:f>Lotes!K8</x:f>
        <x:v>0</x:v>
      </x:c>
      <x:c r="E60" s="16" t="n">
        <x:v>0</x:v>
      </x:c>
      <x:c r="F60" s="13" t="str">
        <x:f>IF(ISBLANK(E60),"PENDENTE",IF(ABS(D60-E60)&lt;=Conferencia!$B$7,"COINCIDE","DIVERGE"))</x:f>
        <x:v>COINCIDE</x:v>
      </x:c>
      <x:c r="G60" s="17"/>
      <x:c r="H60" s="1" t="str">
        <x:v>TOLERÂNCIA</x:v>
      </x:c>
      <x:c r="I60" s="1"/>
      <x:c r="J60" s="1"/>
      <x:c r="K60" s="1"/>
      <x:c r="L60" s="1"/>
      <x:c r="M60" s="1"/>
      <x:c r="N60" s="1"/>
    </x:row>
    <x:row r="61" ht="35" customHeight="1">
      <x:c r="A61" s="1" t="str">
        <x:v>lote</x:v>
      </x:c>
      <x:c r="B61" s="1" t="str">
        <x:v>110</x:v>
      </x:c>
      <x:c r="C61" s="13" t="str">
        <x:v>id_unidade</x:v>
      </x:c>
      <x:c r="D61" s="19" t="n">
        <x:f>Lotes!B9</x:f>
        <x:v>1</x:v>
      </x:c>
      <x:c r="E61" s="20" t="n">
        <x:v>1</x:v>
      </x:c>
      <x:c r="F61" s="13" t="str">
        <x:f>IF(ISBLANK(E61),"PENDENTE",IF(D61=E61,"COINCIDE","DIVERGE"))</x:f>
        <x:v>COINCIDE</x:v>
      </x:c>
      <x:c r="G61" s="17"/>
      <x:c r="H61" s="1" t="str">
        <x:v>EXATA</x:v>
      </x:c>
      <x:c r="I61" s="1"/>
      <x:c r="J61" s="1"/>
      <x:c r="K61" s="1"/>
      <x:c r="L61" s="1"/>
      <x:c r="M61" s="1"/>
      <x:c r="N61" s="1"/>
    </x:row>
    <x:row r="62" ht="35" customHeight="1">
      <x:c r="A62" s="1" t="str">
        <x:v>lote</x:v>
      </x:c>
      <x:c r="B62" s="1" t="str">
        <x:v>110</x:v>
      </x:c>
      <x:c r="C62" s="13" t="str">
        <x:v>id_medicamento</x:v>
      </x:c>
      <x:c r="D62" s="19" t="n">
        <x:f>Lotes!C9</x:f>
        <x:v>97</x:v>
      </x:c>
      <x:c r="E62" s="20" t="n">
        <x:v>97</x:v>
      </x:c>
      <x:c r="F62" s="13" t="str">
        <x:f>IF(ISBLANK(E62),"PENDENTE",IF(D62=E62,"COINCIDE","DIVERGE"))</x:f>
        <x:v>COINCIDE</x:v>
      </x:c>
      <x:c r="G62" s="17"/>
      <x:c r="H62" s="1" t="str">
        <x:v>EXATA</x:v>
      </x:c>
      <x:c r="I62" s="1"/>
      <x:c r="J62" s="1"/>
      <x:c r="K62" s="1"/>
      <x:c r="L62" s="1"/>
      <x:c r="M62" s="1"/>
      <x:c r="N62" s="1"/>
    </x:row>
    <x:row r="63" ht="35" customHeight="1">
      <x:c r="A63" s="1" t="str">
        <x:v>lote</x:v>
      </x:c>
      <x:c r="B63" s="1" t="str">
        <x:v>110</x:v>
      </x:c>
      <x:c r="C63" s="13" t="str">
        <x:v>dias_ate_validade</x:v>
      </x:c>
      <x:c r="D63" s="19" t="n">
        <x:f>Lotes!F9</x:f>
        <x:v>318</x:v>
      </x:c>
      <x:c r="E63" s="20" t="n">
        <x:v>318</x:v>
      </x:c>
      <x:c r="F63" s="13" t="str">
        <x:f>IF(ISBLANK(E63),"PENDENTE",IF(D63=E63,"COINCIDE","DIVERGE"))</x:f>
        <x:v>COINCIDE</x:v>
      </x:c>
      <x:c r="G63" s="17"/>
      <x:c r="H63" s="1" t="str">
        <x:v>EXATA</x:v>
      </x:c>
      <x:c r="I63" s="1"/>
      <x:c r="J63" s="1"/>
      <x:c r="K63" s="1"/>
      <x:c r="L63" s="1"/>
      <x:c r="M63" s="1"/>
      <x:c r="N63" s="1"/>
    </x:row>
    <x:row r="64" ht="35" customHeight="1">
      <x:c r="A64" s="1" t="str">
        <x:v>lote</x:v>
      </x:c>
      <x:c r="B64" s="1" t="str">
        <x:v>110</x:v>
      </x:c>
      <x:c r="C64" s="13" t="str">
        <x:v>cmm</x:v>
      </x:c>
      <x:c r="D64" s="15" t="n">
        <x:f>Lotes!G9</x:f>
        <x:v>40.333333333333336</x:v>
      </x:c>
      <x:c r="E64" s="16" t="n">
        <x:v>40.333333333333336</x:v>
      </x:c>
      <x:c r="F64" s="13" t="str">
        <x:f>IF(ISBLANK(E64),"PENDENTE",IF(ABS(D64-E64)&lt;=Conferencia!$B$7,"COINCIDE","DIVERGE"))</x:f>
        <x:v>COINCIDE</x:v>
      </x:c>
      <x:c r="G64" s="17"/>
      <x:c r="H64" s="1" t="str">
        <x:v>TOLERÂNCIA</x:v>
      </x:c>
      <x:c r="I64" s="1"/>
      <x:c r="J64" s="1"/>
      <x:c r="K64" s="1"/>
      <x:c r="L64" s="1"/>
      <x:c r="M64" s="1"/>
      <x:c r="N64" s="1"/>
    </x:row>
    <x:row r="65" ht="35" customHeight="1">
      <x:c r="A65" s="1" t="str">
        <x:v>lote</x:v>
      </x:c>
      <x:c r="B65" s="1" t="str">
        <x:v>110</x:v>
      </x:c>
      <x:c r="C65" s="13" t="str">
        <x:v>capacidade_acumulada</x:v>
      </x:c>
      <x:c r="D65" s="15" t="n">
        <x:f>Lotes!H9</x:f>
        <x:v>427.53333333333336</x:v>
      </x:c>
      <x:c r="E65" s="16" t="n">
        <x:v>427.53333333333336</x:v>
      </x:c>
      <x:c r="F65" s="13" t="str">
        <x:f>IF(ISBLANK(E65),"PENDENTE",IF(ABS(D65-E65)&lt;=Conferencia!$B$7,"COINCIDE","DIVERGE"))</x:f>
        <x:v>COINCIDE</x:v>
      </x:c>
      <x:c r="G65" s="17"/>
      <x:c r="H65" s="1" t="str">
        <x:v>TOLERÂNCIA</x:v>
      </x:c>
      <x:c r="I65" s="1"/>
      <x:c r="J65" s="1"/>
      <x:c r="K65" s="1"/>
      <x:c r="L65" s="1"/>
      <x:c r="M65" s="1"/>
      <x:c r="N65" s="1"/>
    </x:row>
    <x:row r="66" ht="35" customHeight="1">
      <x:c r="A66" s="1" t="str">
        <x:v>lote</x:v>
      </x:c>
      <x:c r="B66" s="1" t="str">
        <x:v>110</x:v>
      </x:c>
      <x:c r="C66" s="13" t="str">
        <x:v>consumo_anterior</x:v>
      </x:c>
      <x:c r="D66" s="15" t="n">
        <x:f>Lotes!I9</x:f>
        <x:v>6</x:v>
      </x:c>
      <x:c r="E66" s="16" t="n">
        <x:v>6</x:v>
      </x:c>
      <x:c r="F66" s="13" t="str">
        <x:f>IF(ISBLANK(E66),"PENDENTE",IF(ABS(D66-E66)&lt;=Conferencia!$B$7,"COINCIDE","DIVERGE"))</x:f>
        <x:v>COINCIDE</x:v>
      </x:c>
      <x:c r="G66" s="17"/>
      <x:c r="H66" s="1" t="str">
        <x:v>TOLERÂNCIA</x:v>
      </x:c>
      <x:c r="I66" s="1"/>
      <x:c r="J66" s="1"/>
      <x:c r="K66" s="1"/>
      <x:c r="L66" s="1"/>
      <x:c r="M66" s="1"/>
      <x:c r="N66" s="1"/>
    </x:row>
    <x:row r="67" ht="35" customHeight="1">
      <x:c r="A67" s="1" t="str">
        <x:v>lote</x:v>
      </x:c>
      <x:c r="B67" s="1" t="str">
        <x:v>110</x:v>
      </x:c>
      <x:c r="C67" s="13" t="str">
        <x:v>consumivel</x:v>
      </x:c>
      <x:c r="D67" s="15" t="n">
        <x:f>Lotes!J9</x:f>
        <x:v>4</x:v>
      </x:c>
      <x:c r="E67" s="16" t="n">
        <x:v>4</x:v>
      </x:c>
      <x:c r="F67" s="13" t="str">
        <x:f>IF(ISBLANK(E67),"PENDENTE",IF(ABS(D67-E67)&lt;=Conferencia!$B$7,"COINCIDE","DIVERGE"))</x:f>
        <x:v>COINCIDE</x:v>
      </x:c>
      <x:c r="G67" s="17"/>
      <x:c r="H67" s="1" t="str">
        <x:v>TOLERÂNCIA</x:v>
      </x:c>
      <x:c r="I67" s="1"/>
      <x:c r="J67" s="1"/>
      <x:c r="K67" s="1"/>
      <x:c r="L67" s="1"/>
      <x:c r="M67" s="1"/>
      <x:c r="N67" s="1"/>
    </x:row>
    <x:row r="68" ht="35" customHeight="1">
      <x:c r="A68" s="1" t="str">
        <x:v>lote</x:v>
      </x:c>
      <x:c r="B68" s="1" t="str">
        <x:v>110</x:v>
      </x:c>
      <x:c r="C68" s="13" t="str">
        <x:v>risco</x:v>
      </x:c>
      <x:c r="D68" s="15" t="n">
        <x:f>Lotes!K9</x:f>
        <x:v>0</x:v>
      </x:c>
      <x:c r="E68" s="16" t="n">
        <x:v>0</x:v>
      </x:c>
      <x:c r="F68" s="13" t="str">
        <x:f>IF(ISBLANK(E68),"PENDENTE",IF(ABS(D68-E68)&lt;=Conferencia!$B$7,"COINCIDE","DIVERGE"))</x:f>
        <x:v>COINCIDE</x:v>
      </x:c>
      <x:c r="G68" s="17"/>
      <x:c r="H68" s="1" t="str">
        <x:v>TOLERÂNCIA</x:v>
      </x:c>
      <x:c r="I68" s="1"/>
      <x:c r="J68" s="1"/>
      <x:c r="K68" s="1"/>
      <x:c r="L68" s="1"/>
      <x:c r="M68" s="1"/>
      <x:c r="N68" s="1"/>
    </x:row>
    <x:row r="69" ht="35" customHeight="1">
      <x:c r="A69" s="1" t="str">
        <x:v>lote</x:v>
      </x:c>
      <x:c r="B69" s="1" t="str">
        <x:v>330</x:v>
      </x:c>
      <x:c r="C69" s="13" t="str">
        <x:v>id_unidade</x:v>
      </x:c>
      <x:c r="D69" s="19" t="n">
        <x:f>Lotes!B10</x:f>
        <x:v>3</x:v>
      </x:c>
      <x:c r="E69" s="20" t="n">
        <x:v>3</x:v>
      </x:c>
      <x:c r="F69" s="13" t="str">
        <x:f>IF(ISBLANK(E69),"PENDENTE",IF(D69=E69,"COINCIDE","DIVERGE"))</x:f>
        <x:v>COINCIDE</x:v>
      </x:c>
      <x:c r="G69" s="17"/>
      <x:c r="H69" s="1" t="str">
        <x:v>EXATA</x:v>
      </x:c>
      <x:c r="I69" s="1"/>
      <x:c r="J69" s="1"/>
      <x:c r="K69" s="1"/>
      <x:c r="L69" s="1"/>
      <x:c r="M69" s="1"/>
      <x:c r="N69" s="1"/>
    </x:row>
    <x:row r="70" ht="35" customHeight="1">
      <x:c r="A70" s="1" t="str">
        <x:v>lote</x:v>
      </x:c>
      <x:c r="B70" s="1" t="str">
        <x:v>330</x:v>
      </x:c>
      <x:c r="C70" s="13" t="str">
        <x:v>id_medicamento</x:v>
      </x:c>
      <x:c r="D70" s="19" t="n">
        <x:f>Lotes!C10</x:f>
        <x:v>5</x:v>
      </x:c>
      <x:c r="E70" s="20" t="n">
        <x:v>5</x:v>
      </x:c>
      <x:c r="F70" s="13" t="str">
        <x:f>IF(ISBLANK(E70),"PENDENTE",IF(D70=E70,"COINCIDE","DIVERGE"))</x:f>
        <x:v>COINCIDE</x:v>
      </x:c>
      <x:c r="G70" s="17"/>
      <x:c r="H70" s="1" t="str">
        <x:v>EXATA</x:v>
      </x:c>
      <x:c r="I70" s="1"/>
      <x:c r="J70" s="1"/>
      <x:c r="K70" s="1"/>
      <x:c r="L70" s="1"/>
      <x:c r="M70" s="1"/>
      <x:c r="N70" s="1"/>
    </x:row>
    <x:row r="71" ht="35" customHeight="1">
      <x:c r="A71" s="1" t="str">
        <x:v>lote</x:v>
      </x:c>
      <x:c r="B71" s="1" t="str">
        <x:v>330</x:v>
      </x:c>
      <x:c r="C71" s="13" t="str">
        <x:v>dias_ate_validade</x:v>
      </x:c>
      <x:c r="D71" s="19" t="n">
        <x:f>Lotes!F10</x:f>
        <x:v>104</x:v>
      </x:c>
      <x:c r="E71" s="20" t="n">
        <x:v>104</x:v>
      </x:c>
      <x:c r="F71" s="13" t="str">
        <x:f>IF(ISBLANK(E71),"PENDENTE",IF(D71=E71,"COINCIDE","DIVERGE"))</x:f>
        <x:v>COINCIDE</x:v>
      </x:c>
      <x:c r="G71" s="17"/>
      <x:c r="H71" s="1" t="str">
        <x:v>EXATA</x:v>
      </x:c>
      <x:c r="I71" s="1"/>
      <x:c r="J71" s="1"/>
      <x:c r="K71" s="1"/>
      <x:c r="L71" s="1"/>
      <x:c r="M71" s="1"/>
      <x:c r="N71" s="1"/>
    </x:row>
    <x:row r="72" ht="35" customHeight="1">
      <x:c r="A72" s="1" t="str">
        <x:v>lote</x:v>
      </x:c>
      <x:c r="B72" s="1" t="str">
        <x:v>330</x:v>
      </x:c>
      <x:c r="C72" s="13" t="str">
        <x:v>cmm</x:v>
      </x:c>
      <x:c r="D72" s="15" t="n">
        <x:f>Lotes!G10</x:f>
        <x:v>11.833333333333334</x:v>
      </x:c>
      <x:c r="E72" s="16" t="n">
        <x:v>11.833333333333334</x:v>
      </x:c>
      <x:c r="F72" s="13" t="str">
        <x:f>IF(ISBLANK(E72),"PENDENTE",IF(ABS(D72-E72)&lt;=Conferencia!$B$7,"COINCIDE","DIVERGE"))</x:f>
        <x:v>COINCIDE</x:v>
      </x:c>
      <x:c r="G72" s="17"/>
      <x:c r="H72" s="1" t="str">
        <x:v>TOLERÂNCIA</x:v>
      </x:c>
      <x:c r="I72" s="1"/>
      <x:c r="J72" s="1"/>
      <x:c r="K72" s="1"/>
      <x:c r="L72" s="1"/>
      <x:c r="M72" s="1"/>
      <x:c r="N72" s="1"/>
    </x:row>
    <x:row r="73" ht="35" customHeight="1">
      <x:c r="A73" s="1" t="str">
        <x:v>lote</x:v>
      </x:c>
      <x:c r="B73" s="1" t="str">
        <x:v>330</x:v>
      </x:c>
      <x:c r="C73" s="13" t="str">
        <x:v>capacidade_acumulada</x:v>
      </x:c>
      <x:c r="D73" s="15" t="n">
        <x:f>Lotes!H10</x:f>
        <x:v>41.022222222222226</x:v>
      </x:c>
      <x:c r="E73" s="16" t="n">
        <x:v>41.022222222222226</x:v>
      </x:c>
      <x:c r="F73" s="13" t="str">
        <x:f>IF(ISBLANK(E73),"PENDENTE",IF(ABS(D73-E73)&lt;=Conferencia!$B$7,"COINCIDE","DIVERGE"))</x:f>
        <x:v>COINCIDE</x:v>
      </x:c>
      <x:c r="G73" s="17"/>
      <x:c r="H73" s="1" t="str">
        <x:v>TOLERÂNCIA</x:v>
      </x:c>
      <x:c r="I73" s="1"/>
      <x:c r="J73" s="1"/>
      <x:c r="K73" s="1"/>
      <x:c r="L73" s="1"/>
      <x:c r="M73" s="1"/>
      <x:c r="N73" s="1"/>
    </x:row>
    <x:row r="74" ht="35" customHeight="1">
      <x:c r="A74" s="1" t="str">
        <x:v>lote</x:v>
      </x:c>
      <x:c r="B74" s="1" t="str">
        <x:v>330</x:v>
      </x:c>
      <x:c r="C74" s="13" t="str">
        <x:v>consumo_anterior</x:v>
      </x:c>
      <x:c r="D74" s="15" t="n">
        <x:f>Lotes!I10</x:f>
        <x:v>0</x:v>
      </x:c>
      <x:c r="E74" s="16" t="n">
        <x:v>0</x:v>
      </x:c>
      <x:c r="F74" s="13" t="str">
        <x:f>IF(ISBLANK(E74),"PENDENTE",IF(ABS(D74-E74)&lt;=Conferencia!$B$7,"COINCIDE","DIVERGE"))</x:f>
        <x:v>COINCIDE</x:v>
      </x:c>
      <x:c r="G74" s="17"/>
      <x:c r="H74" s="1" t="str">
        <x:v>TOLERÂNCIA</x:v>
      </x:c>
      <x:c r="I74" s="1"/>
      <x:c r="J74" s="1"/>
      <x:c r="K74" s="1"/>
      <x:c r="L74" s="1"/>
      <x:c r="M74" s="1"/>
      <x:c r="N74" s="1"/>
    </x:row>
    <x:row r="75" ht="35" customHeight="1">
      <x:c r="A75" s="1" t="str">
        <x:v>lote</x:v>
      </x:c>
      <x:c r="B75" s="1" t="str">
        <x:v>330</x:v>
      </x:c>
      <x:c r="C75" s="13" t="str">
        <x:v>consumivel</x:v>
      </x:c>
      <x:c r="D75" s="15" t="n">
        <x:f>Lotes!J10</x:f>
        <x:v>41.022222222222226</x:v>
      </x:c>
      <x:c r="E75" s="16" t="n">
        <x:v>41.022222222222226</x:v>
      </x:c>
      <x:c r="F75" s="13" t="str">
        <x:f>IF(ISBLANK(E75),"PENDENTE",IF(ABS(D75-E75)&lt;=Conferencia!$B$7,"COINCIDE","DIVERGE"))</x:f>
        <x:v>COINCIDE</x:v>
      </x:c>
      <x:c r="G75" s="17"/>
      <x:c r="H75" s="1" t="str">
        <x:v>TOLERÂNCIA</x:v>
      </x:c>
      <x:c r="I75" s="1"/>
      <x:c r="J75" s="1"/>
      <x:c r="K75" s="1"/>
      <x:c r="L75" s="1"/>
      <x:c r="M75" s="1"/>
      <x:c r="N75" s="1"/>
    </x:row>
    <x:row r="76" ht="35" customHeight="1">
      <x:c r="A76" s="1" t="str">
        <x:v>lote</x:v>
      </x:c>
      <x:c r="B76" s="1" t="str">
        <x:v>330</x:v>
      </x:c>
      <x:c r="C76" s="13" t="str">
        <x:v>risco</x:v>
      </x:c>
      <x:c r="D76" s="15" t="n">
        <x:f>Lotes!K10</x:f>
        <x:v>198.97777777777776</x:v>
      </x:c>
      <x:c r="E76" s="16" t="n">
        <x:v>198.97777777777776</x:v>
      </x:c>
      <x:c r="F76" s="13" t="str">
        <x:f>IF(ISBLANK(E76),"PENDENTE",IF(ABS(D76-E76)&lt;=Conferencia!$B$7,"COINCIDE","DIVERGE"))</x:f>
        <x:v>COINCIDE</x:v>
      </x:c>
      <x:c r="G76" s="17"/>
      <x:c r="H76" s="1" t="str">
        <x:v>TOLERÂNCIA</x:v>
      </x:c>
      <x:c r="I76" s="1"/>
      <x:c r="J76" s="1"/>
      <x:c r="K76" s="1"/>
      <x:c r="L76" s="1"/>
      <x:c r="M76" s="1"/>
      <x:c r="N76" s="1"/>
    </x:row>
    <x:row r="77" ht="35" customHeight="1">
      <x:c r="A77" s="1" t="str">
        <x:v>lote</x:v>
      </x:c>
      <x:c r="B77" s="1" t="str">
        <x:v>332</x:v>
      </x:c>
      <x:c r="C77" s="13" t="str">
        <x:v>id_unidade</x:v>
      </x:c>
      <x:c r="D77" s="19" t="n">
        <x:f>Lotes!B11</x:f>
        <x:v>3</x:v>
      </x:c>
      <x:c r="E77" s="20" t="n">
        <x:v>3</x:v>
      </x:c>
      <x:c r="F77" s="13" t="str">
        <x:f>IF(ISBLANK(E77),"PENDENTE",IF(D77=E77,"COINCIDE","DIVERGE"))</x:f>
        <x:v>COINCIDE</x:v>
      </x:c>
      <x:c r="G77" s="17"/>
      <x:c r="H77" s="1" t="str">
        <x:v>EXATA</x:v>
      </x:c>
      <x:c r="I77" s="1"/>
      <x:c r="J77" s="1"/>
      <x:c r="K77" s="1"/>
      <x:c r="L77" s="1"/>
      <x:c r="M77" s="1"/>
      <x:c r="N77" s="1"/>
    </x:row>
    <x:row r="78" ht="35" customHeight="1">
      <x:c r="A78" s="1" t="str">
        <x:v>lote</x:v>
      </x:c>
      <x:c r="B78" s="1" t="str">
        <x:v>332</x:v>
      </x:c>
      <x:c r="C78" s="13" t="str">
        <x:v>id_medicamento</x:v>
      </x:c>
      <x:c r="D78" s="19" t="n">
        <x:f>Lotes!C11</x:f>
        <x:v>5</x:v>
      </x:c>
      <x:c r="E78" s="20" t="n">
        <x:v>5</x:v>
      </x:c>
      <x:c r="F78" s="13" t="str">
        <x:f>IF(ISBLANK(E78),"PENDENTE",IF(D78=E78,"COINCIDE","DIVERGE"))</x:f>
        <x:v>COINCIDE</x:v>
      </x:c>
      <x:c r="G78" s="17"/>
      <x:c r="H78" s="1" t="str">
        <x:v>EXATA</x:v>
      </x:c>
      <x:c r="I78" s="1"/>
      <x:c r="J78" s="1"/>
      <x:c r="K78" s="1"/>
      <x:c r="L78" s="1"/>
      <x:c r="M78" s="1"/>
      <x:c r="N78" s="1"/>
    </x:row>
    <x:row r="79" ht="35" customHeight="1">
      <x:c r="A79" s="1" t="str">
        <x:v>lote</x:v>
      </x:c>
      <x:c r="B79" s="1" t="str">
        <x:v>332</x:v>
      </x:c>
      <x:c r="C79" s="13" t="str">
        <x:v>dias_ate_validade</x:v>
      </x:c>
      <x:c r="D79" s="19" t="n">
        <x:f>Lotes!F11</x:f>
        <x:v>118</x:v>
      </x:c>
      <x:c r="E79" s="20" t="n">
        <x:v>118</x:v>
      </x:c>
      <x:c r="F79" s="13" t="str">
        <x:f>IF(ISBLANK(E79),"PENDENTE",IF(D79=E79,"COINCIDE","DIVERGE"))</x:f>
        <x:v>COINCIDE</x:v>
      </x:c>
      <x:c r="G79" s="17"/>
      <x:c r="H79" s="1" t="str">
        <x:v>EXATA</x:v>
      </x:c>
      <x:c r="I79" s="1"/>
      <x:c r="J79" s="1"/>
      <x:c r="K79" s="1"/>
      <x:c r="L79" s="1"/>
      <x:c r="M79" s="1"/>
      <x:c r="N79" s="1"/>
    </x:row>
    <x:row r="80" ht="35" customHeight="1">
      <x:c r="A80" s="1" t="str">
        <x:v>lote</x:v>
      </x:c>
      <x:c r="B80" s="1" t="str">
        <x:v>332</x:v>
      </x:c>
      <x:c r="C80" s="13" t="str">
        <x:v>cmm</x:v>
      </x:c>
      <x:c r="D80" s="15" t="n">
        <x:f>Lotes!G11</x:f>
        <x:v>11.833333333333334</x:v>
      </x:c>
      <x:c r="E80" s="16" t="n">
        <x:v>11.833333333333334</x:v>
      </x:c>
      <x:c r="F80" s="13" t="str">
        <x:f>IF(ISBLANK(E80),"PENDENTE",IF(ABS(D80-E80)&lt;=Conferencia!$B$7,"COINCIDE","DIVERGE"))</x:f>
        <x:v>COINCIDE</x:v>
      </x:c>
      <x:c r="G80" s="17"/>
      <x:c r="H80" s="1" t="str">
        <x:v>TOLERÂNCIA</x:v>
      </x:c>
      <x:c r="I80" s="1"/>
      <x:c r="J80" s="1"/>
      <x:c r="K80" s="1"/>
      <x:c r="L80" s="1"/>
      <x:c r="M80" s="1"/>
      <x:c r="N80" s="1"/>
    </x:row>
    <x:row r="81" ht="35" customHeight="1">
      <x:c r="A81" s="1" t="str">
        <x:v>lote</x:v>
      </x:c>
      <x:c r="B81" s="1" t="str">
        <x:v>332</x:v>
      </x:c>
      <x:c r="C81" s="13" t="str">
        <x:v>capacidade_acumulada</x:v>
      </x:c>
      <x:c r="D81" s="15" t="n">
        <x:f>Lotes!H11</x:f>
        <x:v>46.54444444444445</x:v>
      </x:c>
      <x:c r="E81" s="16" t="n">
        <x:v>46.54444444444445</x:v>
      </x:c>
      <x:c r="F81" s="13" t="str">
        <x:f>IF(ISBLANK(E81),"PENDENTE",IF(ABS(D81-E81)&lt;=Conferencia!$B$7,"COINCIDE","DIVERGE"))</x:f>
        <x:v>COINCIDE</x:v>
      </x:c>
      <x:c r="G81" s="17"/>
      <x:c r="H81" s="1" t="str">
        <x:v>TOLERÂNCIA</x:v>
      </x:c>
      <x:c r="I81" s="1"/>
      <x:c r="J81" s="1"/>
      <x:c r="K81" s="1"/>
      <x:c r="L81" s="1"/>
      <x:c r="M81" s="1"/>
      <x:c r="N81" s="1"/>
    </x:row>
    <x:row r="82" ht="35" customHeight="1">
      <x:c r="A82" s="1" t="str">
        <x:v>lote</x:v>
      </x:c>
      <x:c r="B82" s="1" t="str">
        <x:v>332</x:v>
      </x:c>
      <x:c r="C82" s="13" t="str">
        <x:v>consumo_anterior</x:v>
      </x:c>
      <x:c r="D82" s="15" t="n">
        <x:f>Lotes!I11</x:f>
        <x:v>41.022222222222226</x:v>
      </x:c>
      <x:c r="E82" s="16" t="n">
        <x:v>41.022222222222226</x:v>
      </x:c>
      <x:c r="F82" s="13" t="str">
        <x:f>IF(ISBLANK(E82),"PENDENTE",IF(ABS(D82-E82)&lt;=Conferencia!$B$7,"COINCIDE","DIVERGE"))</x:f>
        <x:v>COINCIDE</x:v>
      </x:c>
      <x:c r="G82" s="17"/>
      <x:c r="H82" s="1" t="str">
        <x:v>TOLERÂNCIA</x:v>
      </x:c>
      <x:c r="I82" s="1"/>
      <x:c r="J82" s="1"/>
      <x:c r="K82" s="1"/>
      <x:c r="L82" s="1"/>
      <x:c r="M82" s="1"/>
      <x:c r="N82" s="1"/>
    </x:row>
    <x:row r="83" ht="35" customHeight="1">
      <x:c r="A83" s="1" t="str">
        <x:v>lote</x:v>
      </x:c>
      <x:c r="B83" s="1" t="str">
        <x:v>332</x:v>
      </x:c>
      <x:c r="C83" s="13" t="str">
        <x:v>consumivel</x:v>
      </x:c>
      <x:c r="D83" s="15" t="n">
        <x:f>Lotes!J11</x:f>
        <x:v>5.522222222222226</x:v>
      </x:c>
      <x:c r="E83" s="16" t="n">
        <x:v>5.522222222222226</x:v>
      </x:c>
      <x:c r="F83" s="13" t="str">
        <x:f>IF(ISBLANK(E83),"PENDENTE",IF(ABS(D83-E83)&lt;=Conferencia!$B$7,"COINCIDE","DIVERGE"))</x:f>
        <x:v>COINCIDE</x:v>
      </x:c>
      <x:c r="G83" s="17"/>
      <x:c r="H83" s="1" t="str">
        <x:v>TOLERÂNCIA</x:v>
      </x:c>
      <x:c r="I83" s="1"/>
      <x:c r="J83" s="1"/>
      <x:c r="K83" s="1"/>
      <x:c r="L83" s="1"/>
      <x:c r="M83" s="1"/>
      <x:c r="N83" s="1"/>
    </x:row>
    <x:row r="84" ht="35" customHeight="1">
      <x:c r="A84" s="1" t="str">
        <x:v>lote</x:v>
      </x:c>
      <x:c r="B84" s="1" t="str">
        <x:v>332</x:v>
      </x:c>
      <x:c r="C84" s="13" t="str">
        <x:v>risco</x:v>
      </x:c>
      <x:c r="D84" s="15" t="n">
        <x:f>Lotes!K11</x:f>
        <x:v>534.4777777777778</x:v>
      </x:c>
      <x:c r="E84" s="16" t="n">
        <x:v>534.4777777777778</x:v>
      </x:c>
      <x:c r="F84" s="13" t="str">
        <x:f>IF(ISBLANK(E84),"PENDENTE",IF(ABS(D84-E84)&lt;=Conferencia!$B$7,"COINCIDE","DIVERGE"))</x:f>
        <x:v>COINCIDE</x:v>
      </x:c>
      <x:c r="G84" s="17"/>
      <x:c r="H84" s="1" t="str">
        <x:v>TOLERÂNCIA</x:v>
      </x:c>
      <x:c r="I84" s="1"/>
      <x:c r="J84" s="1"/>
      <x:c r="K84" s="1"/>
      <x:c r="L84" s="1"/>
      <x:c r="M84" s="1"/>
      <x:c r="N84" s="1"/>
    </x:row>
    <x:row r="85" ht="35" customHeight="1">
      <x:c r="A85" s="1" t="str">
        <x:v>lote</x:v>
      </x:c>
      <x:c r="B85" s="1" t="str">
        <x:v>331</x:v>
      </x:c>
      <x:c r="C85" s="13" t="str">
        <x:v>id_unidade</x:v>
      </x:c>
      <x:c r="D85" s="19" t="n">
        <x:f>Lotes!B12</x:f>
        <x:v>3</x:v>
      </x:c>
      <x:c r="E85" s="20" t="n">
        <x:v>3</x:v>
      </x:c>
      <x:c r="F85" s="13" t="str">
        <x:f>IF(ISBLANK(E85),"PENDENTE",IF(D85=E85,"COINCIDE","DIVERGE"))</x:f>
        <x:v>COINCIDE</x:v>
      </x:c>
      <x:c r="G85" s="17"/>
      <x:c r="H85" s="1" t="str">
        <x:v>EXATA</x:v>
      </x:c>
      <x:c r="I85" s="1"/>
      <x:c r="J85" s="1"/>
      <x:c r="K85" s="1"/>
      <x:c r="L85" s="1"/>
      <x:c r="M85" s="1"/>
      <x:c r="N85" s="1"/>
    </x:row>
    <x:row r="86" ht="35" customHeight="1">
      <x:c r="A86" s="1" t="str">
        <x:v>lote</x:v>
      </x:c>
      <x:c r="B86" s="1" t="str">
        <x:v>331</x:v>
      </x:c>
      <x:c r="C86" s="13" t="str">
        <x:v>id_medicamento</x:v>
      </x:c>
      <x:c r="D86" s="19" t="n">
        <x:f>Lotes!C12</x:f>
        <x:v>5</x:v>
      </x:c>
      <x:c r="E86" s="20" t="n">
        <x:v>5</x:v>
      </x:c>
      <x:c r="F86" s="13" t="str">
        <x:f>IF(ISBLANK(E86),"PENDENTE",IF(D86=E86,"COINCIDE","DIVERGE"))</x:f>
        <x:v>COINCIDE</x:v>
      </x:c>
      <x:c r="G86" s="17"/>
      <x:c r="H86" s="1" t="str">
        <x:v>EXATA</x:v>
      </x:c>
      <x:c r="I86" s="1"/>
      <x:c r="J86" s="1"/>
      <x:c r="K86" s="1"/>
      <x:c r="L86" s="1"/>
      <x:c r="M86" s="1"/>
      <x:c r="N86" s="1"/>
    </x:row>
    <x:row r="87" ht="35" customHeight="1">
      <x:c r="A87" s="1" t="str">
        <x:v>lote</x:v>
      </x:c>
      <x:c r="B87" s="1" t="str">
        <x:v>331</x:v>
      </x:c>
      <x:c r="C87" s="13" t="str">
        <x:v>dias_ate_validade</x:v>
      </x:c>
      <x:c r="D87" s="19" t="n">
        <x:f>Lotes!F12</x:f>
        <x:v>296</x:v>
      </x:c>
      <x:c r="E87" s="20" t="n">
        <x:v>296</x:v>
      </x:c>
      <x:c r="F87" s="13" t="str">
        <x:f>IF(ISBLANK(E87),"PENDENTE",IF(D87=E87,"COINCIDE","DIVERGE"))</x:f>
        <x:v>COINCIDE</x:v>
      </x:c>
      <x:c r="G87" s="17"/>
      <x:c r="H87" s="1" t="str">
        <x:v>EXATA</x:v>
      </x:c>
      <x:c r="I87" s="1"/>
      <x:c r="J87" s="1"/>
      <x:c r="K87" s="1"/>
      <x:c r="L87" s="1"/>
      <x:c r="M87" s="1"/>
      <x:c r="N87" s="1"/>
    </x:row>
    <x:row r="88" ht="35" customHeight="1">
      <x:c r="A88" s="1" t="str">
        <x:v>lote</x:v>
      </x:c>
      <x:c r="B88" s="1" t="str">
        <x:v>331</x:v>
      </x:c>
      <x:c r="C88" s="13" t="str">
        <x:v>cmm</x:v>
      </x:c>
      <x:c r="D88" s="15" t="n">
        <x:f>Lotes!G12</x:f>
        <x:v>11.833333333333334</x:v>
      </x:c>
      <x:c r="E88" s="16" t="n">
        <x:v>11.833333333333334</x:v>
      </x:c>
      <x:c r="F88" s="13" t="str">
        <x:f>IF(ISBLANK(E88),"PENDENTE",IF(ABS(D88-E88)&lt;=Conferencia!$B$7,"COINCIDE","DIVERGE"))</x:f>
        <x:v>COINCIDE</x:v>
      </x:c>
      <x:c r="G88" s="17"/>
      <x:c r="H88" s="1" t="str">
        <x:v>TOLERÂNCIA</x:v>
      </x:c>
      <x:c r="I88" s="1"/>
      <x:c r="J88" s="1"/>
      <x:c r="K88" s="1"/>
      <x:c r="L88" s="1"/>
      <x:c r="M88" s="1"/>
      <x:c r="N88" s="1"/>
    </x:row>
    <x:row r="89" ht="35" customHeight="1">
      <x:c r="A89" s="1" t="str">
        <x:v>lote</x:v>
      </x:c>
      <x:c r="B89" s="1" t="str">
        <x:v>331</x:v>
      </x:c>
      <x:c r="C89" s="13" t="str">
        <x:v>capacidade_acumulada</x:v>
      </x:c>
      <x:c r="D89" s="15" t="n">
        <x:f>Lotes!H12</x:f>
        <x:v>116.75555555555556</x:v>
      </x:c>
      <x:c r="E89" s="16" t="n">
        <x:v>116.75555555555556</x:v>
      </x:c>
      <x:c r="F89" s="13" t="str">
        <x:f>IF(ISBLANK(E89),"PENDENTE",IF(ABS(D89-E89)&lt;=Conferencia!$B$7,"COINCIDE","DIVERGE"))</x:f>
        <x:v>COINCIDE</x:v>
      </x:c>
      <x:c r="G89" s="17"/>
      <x:c r="H89" s="1" t="str">
        <x:v>TOLERÂNCIA</x:v>
      </x:c>
      <x:c r="I89" s="1"/>
      <x:c r="J89" s="1"/>
      <x:c r="K89" s="1"/>
      <x:c r="L89" s="1"/>
      <x:c r="M89" s="1"/>
      <x:c r="N89" s="1"/>
    </x:row>
    <x:row r="90" ht="35" customHeight="1">
      <x:c r="A90" s="1" t="str">
        <x:v>lote</x:v>
      </x:c>
      <x:c r="B90" s="1" t="str">
        <x:v>331</x:v>
      </x:c>
      <x:c r="C90" s="13" t="str">
        <x:v>consumo_anterior</x:v>
      </x:c>
      <x:c r="D90" s="15" t="n">
        <x:f>Lotes!I12</x:f>
        <x:v>46.54444444444445</x:v>
      </x:c>
      <x:c r="E90" s="16" t="n">
        <x:v>46.54444444444445</x:v>
      </x:c>
      <x:c r="F90" s="13" t="str">
        <x:f>IF(ISBLANK(E90),"PENDENTE",IF(ABS(D90-E90)&lt;=Conferencia!$B$7,"COINCIDE","DIVERGE"))</x:f>
        <x:v>COINCIDE</x:v>
      </x:c>
      <x:c r="G90" s="17"/>
      <x:c r="H90" s="1" t="str">
        <x:v>TOLERÂNCIA</x:v>
      </x:c>
      <x:c r="I90" s="1"/>
      <x:c r="J90" s="1"/>
      <x:c r="K90" s="1"/>
      <x:c r="L90" s="1"/>
      <x:c r="M90" s="1"/>
      <x:c r="N90" s="1"/>
    </x:row>
    <x:row r="91" ht="35" customHeight="1">
      <x:c r="A91" s="1" t="str">
        <x:v>lote</x:v>
      </x:c>
      <x:c r="B91" s="1" t="str">
        <x:v>331</x:v>
      </x:c>
      <x:c r="C91" s="13" t="str">
        <x:v>consumivel</x:v>
      </x:c>
      <x:c r="D91" s="15" t="n">
        <x:f>Lotes!J12</x:f>
        <x:v>70.21111111111111</x:v>
      </x:c>
      <x:c r="E91" s="16" t="n">
        <x:v>70.21111111111111</x:v>
      </x:c>
      <x:c r="F91" s="13" t="str">
        <x:f>IF(ISBLANK(E91),"PENDENTE",IF(ABS(D91-E91)&lt;=Conferencia!$B$7,"COINCIDE","DIVERGE"))</x:f>
        <x:v>COINCIDE</x:v>
      </x:c>
      <x:c r="G91" s="17"/>
      <x:c r="H91" s="1" t="str">
        <x:v>TOLERÂNCIA</x:v>
      </x:c>
      <x:c r="I91" s="1"/>
      <x:c r="J91" s="1"/>
      <x:c r="K91" s="1"/>
      <x:c r="L91" s="1"/>
      <x:c r="M91" s="1"/>
      <x:c r="N91" s="1"/>
    </x:row>
    <x:row r="92" ht="35" customHeight="1">
      <x:c r="A92" s="1" t="str">
        <x:v>lote</x:v>
      </x:c>
      <x:c r="B92" s="1" t="str">
        <x:v>331</x:v>
      </x:c>
      <x:c r="C92" s="13" t="str">
        <x:v>risco</x:v>
      </x:c>
      <x:c r="D92" s="15" t="n">
        <x:f>Lotes!K12</x:f>
        <x:v>49.78888888888889</x:v>
      </x:c>
      <x:c r="E92" s="16" t="n">
        <x:v>49.78888888888889</x:v>
      </x:c>
      <x:c r="F92" s="13" t="str">
        <x:f>IF(ISBLANK(E92),"PENDENTE",IF(ABS(D92-E92)&lt;=Conferencia!$B$7,"COINCIDE","DIVERGE"))</x:f>
        <x:v>COINCIDE</x:v>
      </x:c>
      <x:c r="G92" s="17"/>
      <x:c r="H92" s="1" t="str">
        <x:v>TOLERÂNCIA</x:v>
      </x:c>
      <x:c r="I92" s="1"/>
      <x:c r="J92" s="1"/>
      <x:c r="K92" s="1"/>
      <x:c r="L92" s="1"/>
      <x:c r="M92" s="1"/>
      <x:c r="N92" s="1"/>
    </x:row>
    <x:row r="93" ht="35" customHeight="1">
      <x:c r="A93" s="1" t="str">
        <x:v>lote</x:v>
      </x:c>
      <x:c r="B93" s="1" t="str">
        <x:v>333</x:v>
      </x:c>
      <x:c r="C93" s="13" t="str">
        <x:v>id_unidade</x:v>
      </x:c>
      <x:c r="D93" s="19" t="n">
        <x:f>Lotes!B13</x:f>
        <x:v>3</x:v>
      </x:c>
      <x:c r="E93" s="20" t="n">
        <x:v>3</x:v>
      </x:c>
      <x:c r="F93" s="13" t="str">
        <x:f>IF(ISBLANK(E93),"PENDENTE",IF(D93=E93,"COINCIDE","DIVERGE"))</x:f>
        <x:v>COINCIDE</x:v>
      </x:c>
      <x:c r="G93" s="17"/>
      <x:c r="H93" s="1" t="str">
        <x:v>EXATA</x:v>
      </x:c>
      <x:c r="I93" s="1"/>
      <x:c r="J93" s="1"/>
      <x:c r="K93" s="1"/>
      <x:c r="L93" s="1"/>
      <x:c r="M93" s="1"/>
      <x:c r="N93" s="1"/>
    </x:row>
    <x:row r="94" ht="35" customHeight="1">
      <x:c r="A94" s="1" t="str">
        <x:v>lote</x:v>
      </x:c>
      <x:c r="B94" s="1" t="str">
        <x:v>333</x:v>
      </x:c>
      <x:c r="C94" s="13" t="str">
        <x:v>id_medicamento</x:v>
      </x:c>
      <x:c r="D94" s="19" t="n">
        <x:f>Lotes!C13</x:f>
        <x:v>5</x:v>
      </x:c>
      <x:c r="E94" s="20" t="n">
        <x:v>5</x:v>
      </x:c>
      <x:c r="F94" s="13" t="str">
        <x:f>IF(ISBLANK(E94),"PENDENTE",IF(D94=E94,"COINCIDE","DIVERGE"))</x:f>
        <x:v>COINCIDE</x:v>
      </x:c>
      <x:c r="G94" s="17"/>
      <x:c r="H94" s="1" t="str">
        <x:v>EXATA</x:v>
      </x:c>
      <x:c r="I94" s="1"/>
      <x:c r="J94" s="1"/>
      <x:c r="K94" s="1"/>
      <x:c r="L94" s="1"/>
      <x:c r="M94" s="1"/>
      <x:c r="N94" s="1"/>
    </x:row>
    <x:row r="95" ht="35" customHeight="1">
      <x:c r="A95" s="1" t="str">
        <x:v>lote</x:v>
      </x:c>
      <x:c r="B95" s="1" t="str">
        <x:v>333</x:v>
      </x:c>
      <x:c r="C95" s="13" t="str">
        <x:v>dias_ate_validade</x:v>
      </x:c>
      <x:c r="D95" s="19" t="n">
        <x:f>Lotes!F13</x:f>
        <x:v>332</x:v>
      </x:c>
      <x:c r="E95" s="20" t="n">
        <x:v>332</x:v>
      </x:c>
      <x:c r="F95" s="13" t="str">
        <x:f>IF(ISBLANK(E95),"PENDENTE",IF(D95=E95,"COINCIDE","DIVERGE"))</x:f>
        <x:v>COINCIDE</x:v>
      </x:c>
      <x:c r="G95" s="17"/>
      <x:c r="H95" s="1" t="str">
        <x:v>EXATA</x:v>
      </x:c>
      <x:c r="I95" s="1"/>
      <x:c r="J95" s="1"/>
      <x:c r="K95" s="1"/>
      <x:c r="L95" s="1"/>
      <x:c r="M95" s="1"/>
      <x:c r="N95" s="1"/>
    </x:row>
    <x:row r="96" ht="35" customHeight="1">
      <x:c r="A96" s="1" t="str">
        <x:v>lote</x:v>
      </x:c>
      <x:c r="B96" s="1" t="str">
        <x:v>333</x:v>
      </x:c>
      <x:c r="C96" s="13" t="str">
        <x:v>cmm</x:v>
      </x:c>
      <x:c r="D96" s="15" t="n">
        <x:f>Lotes!G13</x:f>
        <x:v>11.833333333333334</x:v>
      </x:c>
      <x:c r="E96" s="16" t="n">
        <x:v>11.833333333333334</x:v>
      </x:c>
      <x:c r="F96" s="13" t="str">
        <x:f>IF(ISBLANK(E96),"PENDENTE",IF(ABS(D96-E96)&lt;=Conferencia!$B$7,"COINCIDE","DIVERGE"))</x:f>
        <x:v>COINCIDE</x:v>
      </x:c>
      <x:c r="G96" s="17"/>
      <x:c r="H96" s="1" t="str">
        <x:v>TOLERÂNCIA</x:v>
      </x:c>
      <x:c r="I96" s="1"/>
      <x:c r="J96" s="1"/>
      <x:c r="K96" s="1"/>
      <x:c r="L96" s="1"/>
      <x:c r="M96" s="1"/>
      <x:c r="N96" s="1"/>
    </x:row>
    <x:row r="97" ht="35" customHeight="1">
      <x:c r="A97" s="1" t="str">
        <x:v>lote</x:v>
      </x:c>
      <x:c r="B97" s="1" t="str">
        <x:v>333</x:v>
      </x:c>
      <x:c r="C97" s="13" t="str">
        <x:v>capacidade_acumulada</x:v>
      </x:c>
      <x:c r="D97" s="15" t="n">
        <x:f>Lotes!H13</x:f>
        <x:v>130.95555555555558</x:v>
      </x:c>
      <x:c r="E97" s="16" t="n">
        <x:v>130.95555555555558</x:v>
      </x:c>
      <x:c r="F97" s="13" t="str">
        <x:f>IF(ISBLANK(E97),"PENDENTE",IF(ABS(D97-E97)&lt;=Conferencia!$B$7,"COINCIDE","DIVERGE"))</x:f>
        <x:v>COINCIDE</x:v>
      </x:c>
      <x:c r="G97" s="17"/>
      <x:c r="H97" s="1" t="str">
        <x:v>TOLERÂNCIA</x:v>
      </x:c>
      <x:c r="I97" s="1"/>
      <x:c r="J97" s="1"/>
      <x:c r="K97" s="1"/>
      <x:c r="L97" s="1"/>
      <x:c r="M97" s="1"/>
      <x:c r="N97" s="1"/>
    </x:row>
    <x:row r="98" ht="35" customHeight="1">
      <x:c r="A98" s="1" t="str">
        <x:v>lote</x:v>
      </x:c>
      <x:c r="B98" s="1" t="str">
        <x:v>333</x:v>
      </x:c>
      <x:c r="C98" s="13" t="str">
        <x:v>consumo_anterior</x:v>
      </x:c>
      <x:c r="D98" s="15" t="n">
        <x:f>Lotes!I13</x:f>
        <x:v>116.75555555555556</x:v>
      </x:c>
      <x:c r="E98" s="16" t="n">
        <x:v>116.75555555555556</x:v>
      </x:c>
      <x:c r="F98" s="13" t="str">
        <x:f>IF(ISBLANK(E98),"PENDENTE",IF(ABS(D98-E98)&lt;=Conferencia!$B$7,"COINCIDE","DIVERGE"))</x:f>
        <x:v>COINCIDE</x:v>
      </x:c>
      <x:c r="G98" s="17"/>
      <x:c r="H98" s="1" t="str">
        <x:v>TOLERÂNCIA</x:v>
      </x:c>
      <x:c r="I98" s="1"/>
      <x:c r="J98" s="1"/>
      <x:c r="K98" s="1"/>
      <x:c r="L98" s="1"/>
      <x:c r="M98" s="1"/>
      <x:c r="N98" s="1"/>
    </x:row>
    <x:row r="99" ht="35" customHeight="1">
      <x:c r="A99" s="1" t="str">
        <x:v>lote</x:v>
      </x:c>
      <x:c r="B99" s="1" t="str">
        <x:v>333</x:v>
      </x:c>
      <x:c r="C99" s="13" t="str">
        <x:v>consumivel</x:v>
      </x:c>
      <x:c r="D99" s="15" t="n">
        <x:f>Lotes!J13</x:f>
        <x:v>14.200000000000017</x:v>
      </x:c>
      <x:c r="E99" s="16" t="n">
        <x:v>14.200000000000017</x:v>
      </x:c>
      <x:c r="F99" s="13" t="str">
        <x:f>IF(ISBLANK(E99),"PENDENTE",IF(ABS(D99-E99)&lt;=Conferencia!$B$7,"COINCIDE","DIVERGE"))</x:f>
        <x:v>COINCIDE</x:v>
      </x:c>
      <x:c r="G99" s="17"/>
      <x:c r="H99" s="1" t="str">
        <x:v>TOLERÂNCIA</x:v>
      </x:c>
      <x:c r="I99" s="1"/>
      <x:c r="J99" s="1"/>
      <x:c r="K99" s="1"/>
      <x:c r="L99" s="1"/>
      <x:c r="M99" s="1"/>
      <x:c r="N99" s="1"/>
    </x:row>
    <x:row r="100" ht="35" customHeight="1">
      <x:c r="A100" s="1" t="str">
        <x:v>lote</x:v>
      </x:c>
      <x:c r="B100" s="1" t="str">
        <x:v>333</x:v>
      </x:c>
      <x:c r="C100" s="13" t="str">
        <x:v>risco</x:v>
      </x:c>
      <x:c r="D100" s="15" t="n">
        <x:f>Lotes!K13</x:f>
        <x:v>345.79999999999995</x:v>
      </x:c>
      <x:c r="E100" s="16" t="n">
        <x:v>345.79999999999995</x:v>
      </x:c>
      <x:c r="F100" s="13" t="str">
        <x:f>IF(ISBLANK(E100),"PENDENTE",IF(ABS(D100-E100)&lt;=Conferencia!$B$7,"COINCIDE","DIVERGE"))</x:f>
        <x:v>COINCIDE</x:v>
      </x:c>
      <x:c r="G100" s="17"/>
      <x:c r="H100" s="1" t="str">
        <x:v>TOLERÂNCIA</x:v>
      </x:c>
      <x:c r="I100" s="1"/>
      <x:c r="J100" s="1"/>
      <x:c r="K100" s="1"/>
      <x:c r="L100" s="1"/>
      <x:c r="M100" s="1"/>
      <x:c r="N100" s="1"/>
    </x:row>
    <x:row r="101" ht="35" customHeight="1">
      <x:c r="A101" s="1" t="str">
        <x:v>lote</x:v>
      </x:c>
      <x:c r="B101" s="1" t="str">
        <x:v>328</x:v>
      </x:c>
      <x:c r="C101" s="13" t="str">
        <x:v>id_unidade</x:v>
      </x:c>
      <x:c r="D101" s="19" t="n">
        <x:f>Lotes!B14</x:f>
        <x:v>3</x:v>
      </x:c>
      <x:c r="E101" s="20" t="n">
        <x:v>3</x:v>
      </x:c>
      <x:c r="F101" s="13" t="str">
        <x:f>IF(ISBLANK(E101),"PENDENTE",IF(D101=E101,"COINCIDE","DIVERGE"))</x:f>
        <x:v>COINCIDE</x:v>
      </x:c>
      <x:c r="G101" s="17"/>
      <x:c r="H101" s="1" t="str">
        <x:v>EXATA</x:v>
      </x:c>
      <x:c r="I101" s="1"/>
      <x:c r="J101" s="1"/>
      <x:c r="K101" s="1"/>
      <x:c r="L101" s="1"/>
      <x:c r="M101" s="1"/>
      <x:c r="N101" s="1"/>
    </x:row>
    <x:row r="102" ht="35" customHeight="1">
      <x:c r="A102" s="1" t="str">
        <x:v>lote</x:v>
      </x:c>
      <x:c r="B102" s="1" t="str">
        <x:v>328</x:v>
      </x:c>
      <x:c r="C102" s="13" t="str">
        <x:v>id_medicamento</x:v>
      </x:c>
      <x:c r="D102" s="19" t="n">
        <x:f>Lotes!C14</x:f>
        <x:v>5</x:v>
      </x:c>
      <x:c r="E102" s="20" t="n">
        <x:v>5</x:v>
      </x:c>
      <x:c r="F102" s="13" t="str">
        <x:f>IF(ISBLANK(E102),"PENDENTE",IF(D102=E102,"COINCIDE","DIVERGE"))</x:f>
        <x:v>COINCIDE</x:v>
      </x:c>
      <x:c r="G102" s="17"/>
      <x:c r="H102" s="1" t="str">
        <x:v>EXATA</x:v>
      </x:c>
      <x:c r="I102" s="1"/>
      <x:c r="J102" s="1"/>
      <x:c r="K102" s="1"/>
      <x:c r="L102" s="1"/>
      <x:c r="M102" s="1"/>
      <x:c r="N102" s="1"/>
    </x:row>
    <x:row r="103" ht="35" customHeight="1">
      <x:c r="A103" s="1" t="str">
        <x:v>lote</x:v>
      </x:c>
      <x:c r="B103" s="1" t="str">
        <x:v>328</x:v>
      </x:c>
      <x:c r="C103" s="13" t="str">
        <x:v>dias_ate_validade</x:v>
      </x:c>
      <x:c r="D103" s="19" t="n">
        <x:f>Lotes!F14</x:f>
        <x:v>346</x:v>
      </x:c>
      <x:c r="E103" s="20" t="n">
        <x:v>346</x:v>
      </x:c>
      <x:c r="F103" s="13" t="str">
        <x:f>IF(ISBLANK(E103),"PENDENTE",IF(D103=E103,"COINCIDE","DIVERGE"))</x:f>
        <x:v>COINCIDE</x:v>
      </x:c>
      <x:c r="G103" s="17"/>
      <x:c r="H103" s="1" t="str">
        <x:v>EXATA</x:v>
      </x:c>
      <x:c r="I103" s="1"/>
      <x:c r="J103" s="1"/>
      <x:c r="K103" s="1"/>
      <x:c r="L103" s="1"/>
      <x:c r="M103" s="1"/>
      <x:c r="N103" s="1"/>
    </x:row>
    <x:row r="104" ht="35" customHeight="1">
      <x:c r="A104" s="1" t="str">
        <x:v>lote</x:v>
      </x:c>
      <x:c r="B104" s="1" t="str">
        <x:v>328</x:v>
      </x:c>
      <x:c r="C104" s="13" t="str">
        <x:v>cmm</x:v>
      </x:c>
      <x:c r="D104" s="15" t="n">
        <x:f>Lotes!G14</x:f>
        <x:v>11.833333333333334</x:v>
      </x:c>
      <x:c r="E104" s="16" t="n">
        <x:v>11.833333333333334</x:v>
      </x:c>
      <x:c r="F104" s="13" t="str">
        <x:f>IF(ISBLANK(E104),"PENDENTE",IF(ABS(D104-E104)&lt;=Conferencia!$B$7,"COINCIDE","DIVERGE"))</x:f>
        <x:v>COINCIDE</x:v>
      </x:c>
      <x:c r="G104" s="17"/>
      <x:c r="H104" s="1" t="str">
        <x:v>TOLERÂNCIA</x:v>
      </x:c>
      <x:c r="I104" s="1"/>
      <x:c r="J104" s="1"/>
      <x:c r="K104" s="1"/>
      <x:c r="L104" s="1"/>
      <x:c r="M104" s="1"/>
      <x:c r="N104" s="1"/>
    </x:row>
    <x:row r="105" ht="35" customHeight="1">
      <x:c r="A105" s="1" t="str">
        <x:v>lote</x:v>
      </x:c>
      <x:c r="B105" s="1" t="str">
        <x:v>328</x:v>
      </x:c>
      <x:c r="C105" s="13" t="str">
        <x:v>capacidade_acumulada</x:v>
      </x:c>
      <x:c r="D105" s="15" t="n">
        <x:f>Lotes!H14</x:f>
        <x:v>136.4777777777778</x:v>
      </x:c>
      <x:c r="E105" s="16" t="n">
        <x:v>136.4777777777778</x:v>
      </x:c>
      <x:c r="F105" s="13" t="str">
        <x:f>IF(ISBLANK(E105),"PENDENTE",IF(ABS(D105-E105)&lt;=Conferencia!$B$7,"COINCIDE","DIVERGE"))</x:f>
        <x:v>COINCIDE</x:v>
      </x:c>
      <x:c r="G105" s="17"/>
      <x:c r="H105" s="1" t="str">
        <x:v>TOLERÂNCIA</x:v>
      </x:c>
      <x:c r="I105" s="1"/>
      <x:c r="J105" s="1"/>
      <x:c r="K105" s="1"/>
      <x:c r="L105" s="1"/>
      <x:c r="M105" s="1"/>
      <x:c r="N105" s="1"/>
    </x:row>
    <x:row r="106" ht="35" customHeight="1">
      <x:c r="A106" s="1" t="str">
        <x:v>lote</x:v>
      </x:c>
      <x:c r="B106" s="1" t="str">
        <x:v>328</x:v>
      </x:c>
      <x:c r="C106" s="13" t="str">
        <x:v>consumo_anterior</x:v>
      </x:c>
      <x:c r="D106" s="15" t="n">
        <x:f>Lotes!I14</x:f>
        <x:v>130.95555555555558</x:v>
      </x:c>
      <x:c r="E106" s="16" t="n">
        <x:v>130.95555555555558</x:v>
      </x:c>
      <x:c r="F106" s="13" t="str">
        <x:f>IF(ISBLANK(E106),"PENDENTE",IF(ABS(D106-E106)&lt;=Conferencia!$B$7,"COINCIDE","DIVERGE"))</x:f>
        <x:v>COINCIDE</x:v>
      </x:c>
      <x:c r="G106" s="17"/>
      <x:c r="H106" s="1" t="str">
        <x:v>TOLERÂNCIA</x:v>
      </x:c>
      <x:c r="I106" s="1"/>
      <x:c r="J106" s="1"/>
      <x:c r="K106" s="1"/>
      <x:c r="L106" s="1"/>
      <x:c r="M106" s="1"/>
      <x:c r="N106" s="1"/>
    </x:row>
    <x:row r="107" ht="35" customHeight="1">
      <x:c r="A107" s="1" t="str">
        <x:v>lote</x:v>
      </x:c>
      <x:c r="B107" s="1" t="str">
        <x:v>328</x:v>
      </x:c>
      <x:c r="C107" s="13" t="str">
        <x:v>consumivel</x:v>
      </x:c>
      <x:c r="D107" s="15" t="n">
        <x:f>Lotes!J14</x:f>
        <x:v>5.5222222222222115</x:v>
      </x:c>
      <x:c r="E107" s="16" t="n">
        <x:v>5.5222222222222115</x:v>
      </x:c>
      <x:c r="F107" s="13" t="str">
        <x:f>IF(ISBLANK(E107),"PENDENTE",IF(ABS(D107-E107)&lt;=Conferencia!$B$7,"COINCIDE","DIVERGE"))</x:f>
        <x:v>COINCIDE</x:v>
      </x:c>
      <x:c r="G107" s="17"/>
      <x:c r="H107" s="1" t="str">
        <x:v>TOLERÂNCIA</x:v>
      </x:c>
      <x:c r="I107" s="1"/>
      <x:c r="J107" s="1"/>
      <x:c r="K107" s="1"/>
      <x:c r="L107" s="1"/>
      <x:c r="M107" s="1"/>
      <x:c r="N107" s="1"/>
    </x:row>
    <x:row r="108" ht="35" customHeight="1">
      <x:c r="A108" s="1" t="str">
        <x:v>lote</x:v>
      </x:c>
      <x:c r="B108" s="1" t="str">
        <x:v>328</x:v>
      </x:c>
      <x:c r="C108" s="13" t="str">
        <x:v>risco</x:v>
      </x:c>
      <x:c r="D108" s="15" t="n">
        <x:f>Lotes!K14</x:f>
        <x:v>24.47777777777779</x:v>
      </x:c>
      <x:c r="E108" s="16" t="n">
        <x:v>24.47777777777779</x:v>
      </x:c>
      <x:c r="F108" s="13" t="str">
        <x:f>IF(ISBLANK(E108),"PENDENTE",IF(ABS(D108-E108)&lt;=Conferencia!$B$7,"COINCIDE","DIVERGE"))</x:f>
        <x:v>COINCIDE</x:v>
      </x:c>
      <x:c r="G108" s="17"/>
      <x:c r="H108" s="1" t="str">
        <x:v>TOLERÂNCIA</x:v>
      </x:c>
      <x:c r="I108" s="1"/>
      <x:c r="J108" s="1"/>
      <x:c r="K108" s="1"/>
      <x:c r="L108" s="1"/>
      <x:c r="M108" s="1"/>
      <x:c r="N108" s="1"/>
    </x:row>
    <x:row r="109" ht="35" customHeight="1">
      <x:c r="A109" s="1" t="str">
        <x:v>lote</x:v>
      </x:c>
      <x:c r="B109" s="1" t="str">
        <x:v>334</x:v>
      </x:c>
      <x:c r="C109" s="13" t="str">
        <x:v>id_unidade</x:v>
      </x:c>
      <x:c r="D109" s="19" t="n">
        <x:f>Lotes!B15</x:f>
        <x:v>3</x:v>
      </x:c>
      <x:c r="E109" s="20" t="n">
        <x:v>3</x:v>
      </x:c>
      <x:c r="F109" s="13" t="str">
        <x:f>IF(ISBLANK(E109),"PENDENTE",IF(D109=E109,"COINCIDE","DIVERGE"))</x:f>
        <x:v>COINCIDE</x:v>
      </x:c>
      <x:c r="G109" s="17"/>
      <x:c r="H109" s="1" t="str">
        <x:v>EXATA</x:v>
      </x:c>
      <x:c r="I109" s="1"/>
      <x:c r="J109" s="1"/>
      <x:c r="K109" s="1"/>
      <x:c r="L109" s="1"/>
      <x:c r="M109" s="1"/>
      <x:c r="N109" s="1"/>
    </x:row>
    <x:row r="110" ht="35" customHeight="1">
      <x:c r="A110" s="1" t="str">
        <x:v>lote</x:v>
      </x:c>
      <x:c r="B110" s="1" t="str">
        <x:v>334</x:v>
      </x:c>
      <x:c r="C110" s="13" t="str">
        <x:v>id_medicamento</x:v>
      </x:c>
      <x:c r="D110" s="19" t="n">
        <x:f>Lotes!C15</x:f>
        <x:v>5</x:v>
      </x:c>
      <x:c r="E110" s="20" t="n">
        <x:v>5</x:v>
      </x:c>
      <x:c r="F110" s="13" t="str">
        <x:f>IF(ISBLANK(E110),"PENDENTE",IF(D110=E110,"COINCIDE","DIVERGE"))</x:f>
        <x:v>COINCIDE</x:v>
      </x:c>
      <x:c r="G110" s="17"/>
      <x:c r="H110" s="1" t="str">
        <x:v>EXATA</x:v>
      </x:c>
      <x:c r="I110" s="1"/>
      <x:c r="J110" s="1"/>
      <x:c r="K110" s="1"/>
      <x:c r="L110" s="1"/>
      <x:c r="M110" s="1"/>
      <x:c r="N110" s="1"/>
    </x:row>
    <x:row r="111" ht="35" customHeight="1">
      <x:c r="A111" s="1" t="str">
        <x:v>lote</x:v>
      </x:c>
      <x:c r="B111" s="1" t="str">
        <x:v>334</x:v>
      </x:c>
      <x:c r="C111" s="13" t="str">
        <x:v>dias_ate_validade</x:v>
      </x:c>
      <x:c r="D111" s="19" t="n">
        <x:f>Lotes!F15</x:f>
        <x:v>353</x:v>
      </x:c>
      <x:c r="E111" s="20" t="n">
        <x:v>353</x:v>
      </x:c>
      <x:c r="F111" s="13" t="str">
        <x:f>IF(ISBLANK(E111),"PENDENTE",IF(D111=E111,"COINCIDE","DIVERGE"))</x:f>
        <x:v>COINCIDE</x:v>
      </x:c>
      <x:c r="G111" s="17"/>
      <x:c r="H111" s="1" t="str">
        <x:v>EXATA</x:v>
      </x:c>
      <x:c r="I111" s="1"/>
      <x:c r="J111" s="1"/>
      <x:c r="K111" s="1"/>
      <x:c r="L111" s="1"/>
      <x:c r="M111" s="1"/>
      <x:c r="N111" s="1"/>
    </x:row>
    <x:row r="112" ht="35" customHeight="1">
      <x:c r="A112" s="1" t="str">
        <x:v>lote</x:v>
      </x:c>
      <x:c r="B112" s="1" t="str">
        <x:v>334</x:v>
      </x:c>
      <x:c r="C112" s="13" t="str">
        <x:v>cmm</x:v>
      </x:c>
      <x:c r="D112" s="15" t="n">
        <x:f>Lotes!G15</x:f>
        <x:v>11.833333333333334</x:v>
      </x:c>
      <x:c r="E112" s="16" t="n">
        <x:v>11.833333333333334</x:v>
      </x:c>
      <x:c r="F112" s="13" t="str">
        <x:f>IF(ISBLANK(E112),"PENDENTE",IF(ABS(D112-E112)&lt;=Conferencia!$B$7,"COINCIDE","DIVERGE"))</x:f>
        <x:v>COINCIDE</x:v>
      </x:c>
      <x:c r="G112" s="17"/>
      <x:c r="H112" s="1" t="str">
        <x:v>TOLERÂNCIA</x:v>
      </x:c>
      <x:c r="I112" s="1"/>
      <x:c r="J112" s="1"/>
      <x:c r="K112" s="1"/>
      <x:c r="L112" s="1"/>
      <x:c r="M112" s="1"/>
      <x:c r="N112" s="1"/>
    </x:row>
    <x:row r="113" ht="35" customHeight="1">
      <x:c r="A113" s="1" t="str">
        <x:v>lote</x:v>
      </x:c>
      <x:c r="B113" s="1" t="str">
        <x:v>334</x:v>
      </x:c>
      <x:c r="C113" s="13" t="str">
        <x:v>capacidade_acumulada</x:v>
      </x:c>
      <x:c r="D113" s="15" t="n">
        <x:f>Lotes!H15</x:f>
        <x:v>139.2388888888889</x:v>
      </x:c>
      <x:c r="E113" s="16" t="n">
        <x:v>139.2388888888889</x:v>
      </x:c>
      <x:c r="F113" s="13" t="str">
        <x:f>IF(ISBLANK(E113),"PENDENTE",IF(ABS(D113-E113)&lt;=Conferencia!$B$7,"COINCIDE","DIVERGE"))</x:f>
        <x:v>COINCIDE</x:v>
      </x:c>
      <x:c r="G113" s="17"/>
      <x:c r="H113" s="1" t="str">
        <x:v>TOLERÂNCIA</x:v>
      </x:c>
      <x:c r="I113" s="1"/>
      <x:c r="J113" s="1"/>
      <x:c r="K113" s="1"/>
      <x:c r="L113" s="1"/>
      <x:c r="M113" s="1"/>
      <x:c r="N113" s="1"/>
    </x:row>
    <x:row r="114" ht="35" customHeight="1">
      <x:c r="A114" s="1" t="str">
        <x:v>lote</x:v>
      </x:c>
      <x:c r="B114" s="1" t="str">
        <x:v>334</x:v>
      </x:c>
      <x:c r="C114" s="13" t="str">
        <x:v>consumo_anterior</x:v>
      </x:c>
      <x:c r="D114" s="15" t="n">
        <x:f>Lotes!I15</x:f>
        <x:v>136.4777777777778</x:v>
      </x:c>
      <x:c r="E114" s="16" t="n">
        <x:v>136.4777777777778</x:v>
      </x:c>
      <x:c r="F114" s="13" t="str">
        <x:f>IF(ISBLANK(E114),"PENDENTE",IF(ABS(D114-E114)&lt;=Conferencia!$B$7,"COINCIDE","DIVERGE"))</x:f>
        <x:v>COINCIDE</x:v>
      </x:c>
      <x:c r="G114" s="17"/>
      <x:c r="H114" s="1" t="str">
        <x:v>TOLERÂNCIA</x:v>
      </x:c>
      <x:c r="I114" s="1"/>
      <x:c r="J114" s="1"/>
      <x:c r="K114" s="1"/>
      <x:c r="L114" s="1"/>
      <x:c r="M114" s="1"/>
      <x:c r="N114" s="1"/>
    </x:row>
    <x:row r="115" ht="35" customHeight="1">
      <x:c r="A115" s="1" t="str">
        <x:v>lote</x:v>
      </x:c>
      <x:c r="B115" s="1" t="str">
        <x:v>334</x:v>
      </x:c>
      <x:c r="C115" s="13" t="str">
        <x:v>consumivel</x:v>
      </x:c>
      <x:c r="D115" s="15" t="n">
        <x:f>Lotes!J15</x:f>
        <x:v>2.76111111111112</x:v>
      </x:c>
      <x:c r="E115" s="16" t="n">
        <x:v>2.76111111111112</x:v>
      </x:c>
      <x:c r="F115" s="13" t="str">
        <x:f>IF(ISBLANK(E115),"PENDENTE",IF(ABS(D115-E115)&lt;=Conferencia!$B$7,"COINCIDE","DIVERGE"))</x:f>
        <x:v>COINCIDE</x:v>
      </x:c>
      <x:c r="G115" s="17"/>
      <x:c r="H115" s="1" t="str">
        <x:v>TOLERÂNCIA</x:v>
      </x:c>
      <x:c r="I115" s="1"/>
      <x:c r="J115" s="1"/>
      <x:c r="K115" s="1"/>
      <x:c r="L115" s="1"/>
      <x:c r="M115" s="1"/>
      <x:c r="N115" s="1"/>
    </x:row>
    <x:row r="116" ht="35" customHeight="1">
      <x:c r="A116" s="1" t="str">
        <x:v>lote</x:v>
      </x:c>
      <x:c r="B116" s="1" t="str">
        <x:v>334</x:v>
      </x:c>
      <x:c r="C116" s="13" t="str">
        <x:v>risco</x:v>
      </x:c>
      <x:c r="D116" s="15" t="n">
        <x:f>Lotes!K15</x:f>
        <x:v>717.2388888888888</x:v>
      </x:c>
      <x:c r="E116" s="16" t="n">
        <x:v>717.2388888888888</x:v>
      </x:c>
      <x:c r="F116" s="13" t="str">
        <x:f>IF(ISBLANK(E116),"PENDENTE",IF(ABS(D116-E116)&lt;=Conferencia!$B$7,"COINCIDE","DIVERGE"))</x:f>
        <x:v>COINCIDE</x:v>
      </x:c>
      <x:c r="G116" s="17"/>
      <x:c r="H116" s="1" t="str">
        <x:v>TOLERÂNCIA</x:v>
      </x:c>
      <x:c r="I116" s="1"/>
      <x:c r="J116" s="1"/>
      <x:c r="K116" s="1"/>
      <x:c r="L116" s="1"/>
      <x:c r="M116" s="1"/>
      <x:c r="N116" s="1"/>
    </x:row>
    <x:row r="117" ht="35" customHeight="1">
      <x:c r="A117" s="1" t="str">
        <x:v>lote</x:v>
      </x:c>
      <x:c r="B117" s="1" t="str">
        <x:v>329</x:v>
      </x:c>
      <x:c r="C117" s="13" t="str">
        <x:v>id_unidade</x:v>
      </x:c>
      <x:c r="D117" s="19" t="n">
        <x:f>Lotes!B16</x:f>
        <x:v>3</x:v>
      </x:c>
      <x:c r="E117" s="20" t="n">
        <x:v>3</x:v>
      </x:c>
      <x:c r="F117" s="13" t="str">
        <x:f>IF(ISBLANK(E117),"PENDENTE",IF(D117=E117,"COINCIDE","DIVERGE"))</x:f>
        <x:v>COINCIDE</x:v>
      </x:c>
      <x:c r="G117" s="17"/>
      <x:c r="H117" s="1" t="str">
        <x:v>EXATA</x:v>
      </x:c>
      <x:c r="I117" s="1"/>
      <x:c r="J117" s="1"/>
      <x:c r="K117" s="1"/>
      <x:c r="L117" s="1"/>
      <x:c r="M117" s="1"/>
      <x:c r="N117" s="1"/>
    </x:row>
    <x:row r="118" ht="35" customHeight="1">
      <x:c r="A118" s="1" t="str">
        <x:v>lote</x:v>
      </x:c>
      <x:c r="B118" s="1" t="str">
        <x:v>329</x:v>
      </x:c>
      <x:c r="C118" s="13" t="str">
        <x:v>id_medicamento</x:v>
      </x:c>
      <x:c r="D118" s="19" t="n">
        <x:f>Lotes!C16</x:f>
        <x:v>5</x:v>
      </x:c>
      <x:c r="E118" s="20" t="n">
        <x:v>5</x:v>
      </x:c>
      <x:c r="F118" s="13" t="str">
        <x:f>IF(ISBLANK(E118),"PENDENTE",IF(D118=E118,"COINCIDE","DIVERGE"))</x:f>
        <x:v>COINCIDE</x:v>
      </x:c>
      <x:c r="G118" s="17"/>
      <x:c r="H118" s="1" t="str">
        <x:v>EXATA</x:v>
      </x:c>
      <x:c r="I118" s="1"/>
      <x:c r="J118" s="1"/>
      <x:c r="K118" s="1"/>
      <x:c r="L118" s="1"/>
      <x:c r="M118" s="1"/>
      <x:c r="N118" s="1"/>
    </x:row>
    <x:row r="119" ht="35" customHeight="1">
      <x:c r="A119" s="1" t="str">
        <x:v>lote</x:v>
      </x:c>
      <x:c r="B119" s="1" t="str">
        <x:v>329</x:v>
      </x:c>
      <x:c r="C119" s="13" t="str">
        <x:v>dias_ate_validade</x:v>
      </x:c>
      <x:c r="D119" s="19" t="n">
        <x:f>Lotes!F16</x:f>
        <x:v>417</x:v>
      </x:c>
      <x:c r="E119" s="20" t="n">
        <x:v>417</x:v>
      </x:c>
      <x:c r="F119" s="13" t="str">
        <x:f>IF(ISBLANK(E119),"PENDENTE",IF(D119=E119,"COINCIDE","DIVERGE"))</x:f>
        <x:v>COINCIDE</x:v>
      </x:c>
      <x:c r="G119" s="17"/>
      <x:c r="H119" s="1" t="str">
        <x:v>EXATA</x:v>
      </x:c>
      <x:c r="I119" s="1"/>
      <x:c r="J119" s="1"/>
      <x:c r="K119" s="1"/>
      <x:c r="L119" s="1"/>
      <x:c r="M119" s="1"/>
      <x:c r="N119" s="1"/>
    </x:row>
    <x:row r="120" ht="35" customHeight="1">
      <x:c r="A120" s="1" t="str">
        <x:v>lote</x:v>
      </x:c>
      <x:c r="B120" s="1" t="str">
        <x:v>329</x:v>
      </x:c>
      <x:c r="C120" s="13" t="str">
        <x:v>cmm</x:v>
      </x:c>
      <x:c r="D120" s="15" t="n">
        <x:f>Lotes!G16</x:f>
        <x:v>11.833333333333334</x:v>
      </x:c>
      <x:c r="E120" s="16" t="n">
        <x:v>11.833333333333334</x:v>
      </x:c>
      <x:c r="F120" s="13" t="str">
        <x:f>IF(ISBLANK(E120),"PENDENTE",IF(ABS(D120-E120)&lt;=Conferencia!$B$7,"COINCIDE","DIVERGE"))</x:f>
        <x:v>COINCIDE</x:v>
      </x:c>
      <x:c r="G120" s="17"/>
      <x:c r="H120" s="1" t="str">
        <x:v>TOLERÂNCIA</x:v>
      </x:c>
      <x:c r="I120" s="1"/>
      <x:c r="J120" s="1"/>
      <x:c r="K120" s="1"/>
      <x:c r="L120" s="1"/>
      <x:c r="M120" s="1"/>
      <x:c r="N120" s="1"/>
    </x:row>
    <x:row r="121" ht="35" customHeight="1">
      <x:c r="A121" s="1" t="str">
        <x:v>lote</x:v>
      </x:c>
      <x:c r="B121" s="1" t="str">
        <x:v>329</x:v>
      </x:c>
      <x:c r="C121" s="13" t="str">
        <x:v>capacidade_acumulada</x:v>
      </x:c>
      <x:c r="D121" s="15" t="n">
        <x:f>Lotes!H16</x:f>
        <x:v>164.48333333333332</x:v>
      </x:c>
      <x:c r="E121" s="16" t="n">
        <x:v>164.48333333333332</x:v>
      </x:c>
      <x:c r="F121" s="13" t="str">
        <x:f>IF(ISBLANK(E121),"PENDENTE",IF(ABS(D121-E121)&lt;=Conferencia!$B$7,"COINCIDE","DIVERGE"))</x:f>
        <x:v>COINCIDE</x:v>
      </x:c>
      <x:c r="G121" s="17"/>
      <x:c r="H121" s="1" t="str">
        <x:v>TOLERÂNCIA</x:v>
      </x:c>
      <x:c r="I121" s="1"/>
      <x:c r="J121" s="1"/>
      <x:c r="K121" s="1"/>
      <x:c r="L121" s="1"/>
      <x:c r="M121" s="1"/>
      <x:c r="N121" s="1"/>
    </x:row>
    <x:row r="122" ht="35" customHeight="1">
      <x:c r="A122" s="1" t="str">
        <x:v>lote</x:v>
      </x:c>
      <x:c r="B122" s="1" t="str">
        <x:v>329</x:v>
      </x:c>
      <x:c r="C122" s="13" t="str">
        <x:v>consumo_anterior</x:v>
      </x:c>
      <x:c r="D122" s="15" t="n">
        <x:f>Lotes!I16</x:f>
        <x:v>139.2388888888889</x:v>
      </x:c>
      <x:c r="E122" s="16" t="n">
        <x:v>139.2388888888889</x:v>
      </x:c>
      <x:c r="F122" s="13" t="str">
        <x:f>IF(ISBLANK(E122),"PENDENTE",IF(ABS(D122-E122)&lt;=Conferencia!$B$7,"COINCIDE","DIVERGE"))</x:f>
        <x:v>COINCIDE</x:v>
      </x:c>
      <x:c r="G122" s="17"/>
      <x:c r="H122" s="1" t="str">
        <x:v>TOLERÂNCIA</x:v>
      </x:c>
      <x:c r="I122" s="1"/>
      <x:c r="J122" s="1"/>
      <x:c r="K122" s="1"/>
      <x:c r="L122" s="1"/>
      <x:c r="M122" s="1"/>
      <x:c r="N122" s="1"/>
    </x:row>
    <x:row r="123" ht="35" customHeight="1">
      <x:c r="A123" s="1" t="str">
        <x:v>lote</x:v>
      </x:c>
      <x:c r="B123" s="1" t="str">
        <x:v>329</x:v>
      </x:c>
      <x:c r="C123" s="13" t="str">
        <x:v>consumivel</x:v>
      </x:c>
      <x:c r="D123" s="15" t="n">
        <x:f>Lotes!J16</x:f>
        <x:v>25.24444444444441</x:v>
      </x:c>
      <x:c r="E123" s="16" t="n">
        <x:v>25.24444444444441</x:v>
      </x:c>
      <x:c r="F123" s="13" t="str">
        <x:f>IF(ISBLANK(E123),"PENDENTE",IF(ABS(D123-E123)&lt;=Conferencia!$B$7,"COINCIDE","DIVERGE"))</x:f>
        <x:v>COINCIDE</x:v>
      </x:c>
      <x:c r="G123" s="17"/>
      <x:c r="H123" s="1" t="str">
        <x:v>TOLERÂNCIA</x:v>
      </x:c>
      <x:c r="I123" s="1"/>
      <x:c r="J123" s="1"/>
      <x:c r="K123" s="1"/>
      <x:c r="L123" s="1"/>
      <x:c r="M123" s="1"/>
      <x:c r="N123" s="1"/>
    </x:row>
    <x:row r="124" ht="35" customHeight="1">
      <x:c r="A124" s="1" t="str">
        <x:v>lote</x:v>
      </x:c>
      <x:c r="B124" s="1" t="str">
        <x:v>329</x:v>
      </x:c>
      <x:c r="C124" s="13" t="str">
        <x:v>risco</x:v>
      </x:c>
      <x:c r="D124" s="15" t="n">
        <x:f>Lotes!K16</x:f>
        <x:v>214.7555555555556</x:v>
      </x:c>
      <x:c r="E124" s="16" t="n">
        <x:v>214.7555555555556</x:v>
      </x:c>
      <x:c r="F124" s="13" t="str">
        <x:f>IF(ISBLANK(E124),"PENDENTE",IF(ABS(D124-E124)&lt;=Conferencia!$B$7,"COINCIDE","DIVERGE"))</x:f>
        <x:v>COINCIDE</x:v>
      </x:c>
      <x:c r="G124" s="17"/>
      <x:c r="H124" s="1" t="str">
        <x:v>TOLERÂNCIA</x:v>
      </x:c>
      <x:c r="I124" s="1"/>
      <x:c r="J124" s="1"/>
      <x:c r="K124" s="1"/>
      <x:c r="L124" s="1"/>
      <x:c r="M124" s="1"/>
      <x:c r="N124" s="1"/>
    </x:row>
    <x:row r="125" ht="35" customHeight="1">
      <x:c r="A125" s="1" t="str">
        <x:v>lote</x:v>
      </x:c>
      <x:c r="B125" s="1" t="str">
        <x:v>335</x:v>
      </x:c>
      <x:c r="C125" s="13" t="str">
        <x:v>id_unidade</x:v>
      </x:c>
      <x:c r="D125" s="19" t="n">
        <x:f>Lotes!B17</x:f>
        <x:v>3</x:v>
      </x:c>
      <x:c r="E125" s="20" t="n">
        <x:v>3</x:v>
      </x:c>
      <x:c r="F125" s="13" t="str">
        <x:f>IF(ISBLANK(E125),"PENDENTE",IF(D125=E125,"COINCIDE","DIVERGE"))</x:f>
        <x:v>COINCIDE</x:v>
      </x:c>
      <x:c r="G125" s="17"/>
      <x:c r="H125" s="1" t="str">
        <x:v>EXATA</x:v>
      </x:c>
      <x:c r="I125" s="1"/>
      <x:c r="J125" s="1"/>
      <x:c r="K125" s="1"/>
      <x:c r="L125" s="1"/>
      <x:c r="M125" s="1"/>
      <x:c r="N125" s="1"/>
    </x:row>
    <x:row r="126" ht="35" customHeight="1">
      <x:c r="A126" s="1" t="str">
        <x:v>lote</x:v>
      </x:c>
      <x:c r="B126" s="1" t="str">
        <x:v>335</x:v>
      </x:c>
      <x:c r="C126" s="13" t="str">
        <x:v>id_medicamento</x:v>
      </x:c>
      <x:c r="D126" s="19" t="n">
        <x:f>Lotes!C17</x:f>
        <x:v>5</x:v>
      </x:c>
      <x:c r="E126" s="20" t="n">
        <x:v>5</x:v>
      </x:c>
      <x:c r="F126" s="13" t="str">
        <x:f>IF(ISBLANK(E126),"PENDENTE",IF(D126=E126,"COINCIDE","DIVERGE"))</x:f>
        <x:v>COINCIDE</x:v>
      </x:c>
      <x:c r="G126" s="17"/>
      <x:c r="H126" s="1" t="str">
        <x:v>EXATA</x:v>
      </x:c>
      <x:c r="I126" s="1"/>
      <x:c r="J126" s="1"/>
      <x:c r="K126" s="1"/>
      <x:c r="L126" s="1"/>
      <x:c r="M126" s="1"/>
      <x:c r="N126" s="1"/>
    </x:row>
    <x:row r="127" ht="35" customHeight="1">
      <x:c r="A127" s="1" t="str">
        <x:v>lote</x:v>
      </x:c>
      <x:c r="B127" s="1" t="str">
        <x:v>335</x:v>
      </x:c>
      <x:c r="C127" s="13" t="str">
        <x:v>dias_ate_validade</x:v>
      </x:c>
      <x:c r="D127" s="19" t="n">
        <x:f>Lotes!F17</x:f>
        <x:v>499</x:v>
      </x:c>
      <x:c r="E127" s="20" t="n">
        <x:v>499</x:v>
      </x:c>
      <x:c r="F127" s="13" t="str">
        <x:f>IF(ISBLANK(E127),"PENDENTE",IF(D127=E127,"COINCIDE","DIVERGE"))</x:f>
        <x:v>COINCIDE</x:v>
      </x:c>
      <x:c r="G127" s="17"/>
      <x:c r="H127" s="1" t="str">
        <x:v>EXATA</x:v>
      </x:c>
      <x:c r="I127" s="1"/>
      <x:c r="J127" s="1"/>
      <x:c r="K127" s="1"/>
      <x:c r="L127" s="1"/>
      <x:c r="M127" s="1"/>
      <x:c r="N127" s="1"/>
    </x:row>
    <x:row r="128" ht="35" customHeight="1">
      <x:c r="A128" s="1" t="str">
        <x:v>lote</x:v>
      </x:c>
      <x:c r="B128" s="1" t="str">
        <x:v>335</x:v>
      </x:c>
      <x:c r="C128" s="13" t="str">
        <x:v>cmm</x:v>
      </x:c>
      <x:c r="D128" s="15" t="n">
        <x:f>Lotes!G17</x:f>
        <x:v>11.833333333333334</x:v>
      </x:c>
      <x:c r="E128" s="16" t="n">
        <x:v>11.833333333333334</x:v>
      </x:c>
      <x:c r="F128" s="13" t="str">
        <x:f>IF(ISBLANK(E128),"PENDENTE",IF(ABS(D128-E128)&lt;=Conferencia!$B$7,"COINCIDE","DIVERGE"))</x:f>
        <x:v>COINCIDE</x:v>
      </x:c>
      <x:c r="G128" s="17"/>
      <x:c r="H128" s="1" t="str">
        <x:v>TOLERÂNCIA</x:v>
      </x:c>
      <x:c r="I128" s="1"/>
      <x:c r="J128" s="1"/>
      <x:c r="K128" s="1"/>
      <x:c r="L128" s="1"/>
      <x:c r="M128" s="1"/>
      <x:c r="N128" s="1"/>
    </x:row>
    <x:row r="129" ht="35" customHeight="1">
      <x:c r="A129" s="1" t="str">
        <x:v>lote</x:v>
      </x:c>
      <x:c r="B129" s="1" t="str">
        <x:v>335</x:v>
      </x:c>
      <x:c r="C129" s="13" t="str">
        <x:v>capacidade_acumulada</x:v>
      </x:c>
      <x:c r="D129" s="15" t="n">
        <x:f>Lotes!H17</x:f>
        <x:v>196.8277777777778</x:v>
      </x:c>
      <x:c r="E129" s="16" t="n">
        <x:v>196.8277777777778</x:v>
      </x:c>
      <x:c r="F129" s="13" t="str">
        <x:f>IF(ISBLANK(E129),"PENDENTE",IF(ABS(D129-E129)&lt;=Conferencia!$B$7,"COINCIDE","DIVERGE"))</x:f>
        <x:v>COINCIDE</x:v>
      </x:c>
      <x:c r="G129" s="17"/>
      <x:c r="H129" s="1" t="str">
        <x:v>TOLERÂNCIA</x:v>
      </x:c>
      <x:c r="I129" s="1"/>
      <x:c r="J129" s="1"/>
      <x:c r="K129" s="1"/>
      <x:c r="L129" s="1"/>
      <x:c r="M129" s="1"/>
      <x:c r="N129" s="1"/>
    </x:row>
    <x:row r="130" ht="35" customHeight="1">
      <x:c r="A130" s="1" t="str">
        <x:v>lote</x:v>
      </x:c>
      <x:c r="B130" s="1" t="str">
        <x:v>335</x:v>
      </x:c>
      <x:c r="C130" s="13" t="str">
        <x:v>consumo_anterior</x:v>
      </x:c>
      <x:c r="D130" s="15" t="n">
        <x:f>Lotes!I17</x:f>
        <x:v>164.48333333333332</x:v>
      </x:c>
      <x:c r="E130" s="16" t="n">
        <x:v>164.48333333333332</x:v>
      </x:c>
      <x:c r="F130" s="13" t="str">
        <x:f>IF(ISBLANK(E130),"PENDENTE",IF(ABS(D130-E130)&lt;=Conferencia!$B$7,"COINCIDE","DIVERGE"))</x:f>
        <x:v>COINCIDE</x:v>
      </x:c>
      <x:c r="G130" s="17"/>
      <x:c r="H130" s="1" t="str">
        <x:v>TOLERÂNCIA</x:v>
      </x:c>
      <x:c r="I130" s="1"/>
      <x:c r="J130" s="1"/>
      <x:c r="K130" s="1"/>
      <x:c r="L130" s="1"/>
      <x:c r="M130" s="1"/>
      <x:c r="N130" s="1"/>
    </x:row>
    <x:row r="131" ht="35" customHeight="1">
      <x:c r="A131" s="1" t="str">
        <x:v>lote</x:v>
      </x:c>
      <x:c r="B131" s="1" t="str">
        <x:v>335</x:v>
      </x:c>
      <x:c r="C131" s="13" t="str">
        <x:v>consumivel</x:v>
      </x:c>
      <x:c r="D131" s="15" t="n">
        <x:f>Lotes!J17</x:f>
        <x:v>32.34444444444449</x:v>
      </x:c>
      <x:c r="E131" s="16" t="n">
        <x:v>32.34444444444449</x:v>
      </x:c>
      <x:c r="F131" s="13" t="str">
        <x:f>IF(ISBLANK(E131),"PENDENTE",IF(ABS(D131-E131)&lt;=Conferencia!$B$7,"COINCIDE","DIVERGE"))</x:f>
        <x:v>COINCIDE</x:v>
      </x:c>
      <x:c r="G131" s="17"/>
      <x:c r="H131" s="1" t="str">
        <x:v>TOLERÂNCIA</x:v>
      </x:c>
      <x:c r="I131" s="1"/>
      <x:c r="J131" s="1"/>
      <x:c r="K131" s="1"/>
      <x:c r="L131" s="1"/>
      <x:c r="M131" s="1"/>
      <x:c r="N131" s="1"/>
    </x:row>
    <x:row r="132" ht="35" customHeight="1">
      <x:c r="A132" s="1" t="str">
        <x:v>lote</x:v>
      </x:c>
      <x:c r="B132" s="1" t="str">
        <x:v>335</x:v>
      </x:c>
      <x:c r="C132" s="13" t="str">
        <x:v>risco</x:v>
      </x:c>
      <x:c r="D132" s="15" t="n">
        <x:f>Lotes!K17</x:f>
        <x:v>327.6555555555555</x:v>
      </x:c>
      <x:c r="E132" s="16" t="n">
        <x:v>327.6555555555555</x:v>
      </x:c>
      <x:c r="F132" s="13" t="str">
        <x:f>IF(ISBLANK(E132),"PENDENTE",IF(ABS(D132-E132)&lt;=Conferencia!$B$7,"COINCIDE","DIVERGE"))</x:f>
        <x:v>COINCIDE</x:v>
      </x:c>
      <x:c r="G132" s="17"/>
      <x:c r="H132" s="1" t="str">
        <x:v>TOLERÂNCIA</x:v>
      </x:c>
      <x:c r="I132" s="1"/>
      <x:c r="J132" s="1"/>
      <x:c r="K132" s="1"/>
      <x:c r="L132" s="1"/>
      <x:c r="M132" s="1"/>
      <x:c r="N132" s="1"/>
    </x:row>
    <x:row r="133" ht="35" customHeight="1">
      <x:c r="A133" s="1" t="str">
        <x:v>lote</x:v>
      </x:c>
      <x:c r="B133" s="1" t="str">
        <x:v>1254</x:v>
      </x:c>
      <x:c r="C133" s="13" t="str">
        <x:v>id_unidade</x:v>
      </x:c>
      <x:c r="D133" s="19" t="n">
        <x:f>Lotes!B18</x:f>
        <x:v>7</x:v>
      </x:c>
      <x:c r="E133" s="20" t="n">
        <x:v>7</x:v>
      </x:c>
      <x:c r="F133" s="13" t="str">
        <x:f>IF(ISBLANK(E133),"PENDENTE",IF(D133=E133,"COINCIDE","DIVERGE"))</x:f>
        <x:v>COINCIDE</x:v>
      </x:c>
      <x:c r="G133" s="17"/>
      <x:c r="H133" s="1" t="str">
        <x:v>EXATA</x:v>
      </x:c>
      <x:c r="I133" s="1"/>
      <x:c r="J133" s="1"/>
      <x:c r="K133" s="1"/>
      <x:c r="L133" s="1"/>
      <x:c r="M133" s="1"/>
      <x:c r="N133" s="1"/>
    </x:row>
    <x:row r="134" ht="35" customHeight="1">
      <x:c r="A134" s="1" t="str">
        <x:v>lote</x:v>
      </x:c>
      <x:c r="B134" s="1" t="str">
        <x:v>1254</x:v>
      </x:c>
      <x:c r="C134" s="13" t="str">
        <x:v>id_medicamento</x:v>
      </x:c>
      <x:c r="D134" s="19" t="n">
        <x:f>Lotes!C18</x:f>
        <x:v>66</x:v>
      </x:c>
      <x:c r="E134" s="20" t="n">
        <x:v>66</x:v>
      </x:c>
      <x:c r="F134" s="13" t="str">
        <x:f>IF(ISBLANK(E134),"PENDENTE",IF(D134=E134,"COINCIDE","DIVERGE"))</x:f>
        <x:v>COINCIDE</x:v>
      </x:c>
      <x:c r="G134" s="17"/>
      <x:c r="H134" s="1" t="str">
        <x:v>EXATA</x:v>
      </x:c>
      <x:c r="I134" s="1"/>
      <x:c r="J134" s="1"/>
      <x:c r="K134" s="1"/>
      <x:c r="L134" s="1"/>
      <x:c r="M134" s="1"/>
      <x:c r="N134" s="1"/>
    </x:row>
    <x:row r="135" ht="35" customHeight="1">
      <x:c r="A135" s="1" t="str">
        <x:v>lote</x:v>
      </x:c>
      <x:c r="B135" s="1" t="str">
        <x:v>1254</x:v>
      </x:c>
      <x:c r="C135" s="13" t="str">
        <x:v>dias_ate_validade</x:v>
      </x:c>
      <x:c r="D135" s="19" t="n">
        <x:f>Lotes!F18</x:f>
        <x:v>439</x:v>
      </x:c>
      <x:c r="E135" s="20" t="n">
        <x:v>439</x:v>
      </x:c>
      <x:c r="F135" s="13" t="str">
        <x:f>IF(ISBLANK(E135),"PENDENTE",IF(D135=E135,"COINCIDE","DIVERGE"))</x:f>
        <x:v>COINCIDE</x:v>
      </x:c>
      <x:c r="G135" s="17"/>
      <x:c r="H135" s="1" t="str">
        <x:v>EXATA</x:v>
      </x:c>
      <x:c r="I135" s="1"/>
      <x:c r="J135" s="1"/>
      <x:c r="K135" s="1"/>
      <x:c r="L135" s="1"/>
      <x:c r="M135" s="1"/>
      <x:c r="N135" s="1"/>
    </x:row>
    <x:row r="136" ht="35" customHeight="1">
      <x:c r="A136" s="1" t="str">
        <x:v>lote</x:v>
      </x:c>
      <x:c r="B136" s="1" t="str">
        <x:v>1254</x:v>
      </x:c>
      <x:c r="C136" s="13" t="str">
        <x:v>cmm</x:v>
      </x:c>
      <x:c r="D136" s="15" t="n">
        <x:f>Lotes!G18</x:f>
        <x:v>38.333333333333336</x:v>
      </x:c>
      <x:c r="E136" s="16" t="n">
        <x:v>38.333333333333336</x:v>
      </x:c>
      <x:c r="F136" s="13" t="str">
        <x:f>IF(ISBLANK(E136),"PENDENTE",IF(ABS(D136-E136)&lt;=Conferencia!$B$7,"COINCIDE","DIVERGE"))</x:f>
        <x:v>COINCIDE</x:v>
      </x:c>
      <x:c r="G136" s="17"/>
      <x:c r="H136" s="1" t="str">
        <x:v>TOLERÂNCIA</x:v>
      </x:c>
      <x:c r="I136" s="1"/>
      <x:c r="J136" s="1"/>
      <x:c r="K136" s="1"/>
      <x:c r="L136" s="1"/>
      <x:c r="M136" s="1"/>
      <x:c r="N136" s="1"/>
    </x:row>
    <x:row r="137" ht="35" customHeight="1">
      <x:c r="A137" s="1" t="str">
        <x:v>lote</x:v>
      </x:c>
      <x:c r="B137" s="1" t="str">
        <x:v>1254</x:v>
      </x:c>
      <x:c r="C137" s="13" t="str">
        <x:v>capacidade_acumulada</x:v>
      </x:c>
      <x:c r="D137" s="15" t="n">
        <x:f>Lotes!H18</x:f>
        <x:v>560.9444444444446</x:v>
      </x:c>
      <x:c r="E137" s="16" t="n">
        <x:v>560.9444444444446</x:v>
      </x:c>
      <x:c r="F137" s="13" t="str">
        <x:f>IF(ISBLANK(E137),"PENDENTE",IF(ABS(D137-E137)&lt;=Conferencia!$B$7,"COINCIDE","DIVERGE"))</x:f>
        <x:v>COINCIDE</x:v>
      </x:c>
      <x:c r="G137" s="17"/>
      <x:c r="H137" s="1" t="str">
        <x:v>TOLERÂNCIA</x:v>
      </x:c>
      <x:c r="I137" s="1"/>
      <x:c r="J137" s="1"/>
      <x:c r="K137" s="1"/>
      <x:c r="L137" s="1"/>
      <x:c r="M137" s="1"/>
      <x:c r="N137" s="1"/>
    </x:row>
    <x:row r="138" ht="35" customHeight="1">
      <x:c r="A138" s="1" t="str">
        <x:v>lote</x:v>
      </x:c>
      <x:c r="B138" s="1" t="str">
        <x:v>1254</x:v>
      </x:c>
      <x:c r="C138" s="13" t="str">
        <x:v>consumo_anterior</x:v>
      </x:c>
      <x:c r="D138" s="15" t="n">
        <x:f>Lotes!I18</x:f>
        <x:v>0</x:v>
      </x:c>
      <x:c r="E138" s="16" t="n">
        <x:v>0</x:v>
      </x:c>
      <x:c r="F138" s="13" t="str">
        <x:f>IF(ISBLANK(E138),"PENDENTE",IF(ABS(D138-E138)&lt;=Conferencia!$B$7,"COINCIDE","DIVERGE"))</x:f>
        <x:v>COINCIDE</x:v>
      </x:c>
      <x:c r="G138" s="17"/>
      <x:c r="H138" s="1" t="str">
        <x:v>TOLERÂNCIA</x:v>
      </x:c>
      <x:c r="I138" s="1"/>
      <x:c r="J138" s="1"/>
      <x:c r="K138" s="1"/>
      <x:c r="L138" s="1"/>
      <x:c r="M138" s="1"/>
      <x:c r="N138" s="1"/>
    </x:row>
    <x:row r="139" ht="35" customHeight="1">
      <x:c r="A139" s="1" t="str">
        <x:v>lote</x:v>
      </x:c>
      <x:c r="B139" s="1" t="str">
        <x:v>1254</x:v>
      </x:c>
      <x:c r="C139" s="13" t="str">
        <x:v>consumivel</x:v>
      </x:c>
      <x:c r="D139" s="15" t="n">
        <x:f>Lotes!J18</x:f>
        <x:v>250</x:v>
      </x:c>
      <x:c r="E139" s="16" t="n">
        <x:v>250</x:v>
      </x:c>
      <x:c r="F139" s="13" t="str">
        <x:f>IF(ISBLANK(E139),"PENDENTE",IF(ABS(D139-E139)&lt;=Conferencia!$B$7,"COINCIDE","DIVERGE"))</x:f>
        <x:v>COINCIDE</x:v>
      </x:c>
      <x:c r="G139" s="17"/>
      <x:c r="H139" s="1" t="str">
        <x:v>TOLERÂNCIA</x:v>
      </x:c>
      <x:c r="I139" s="1"/>
      <x:c r="J139" s="1"/>
      <x:c r="K139" s="1"/>
      <x:c r="L139" s="1"/>
      <x:c r="M139" s="1"/>
      <x:c r="N139" s="1"/>
    </x:row>
    <x:row r="140" ht="35" customHeight="1">
      <x:c r="A140" s="1" t="str">
        <x:v>lote</x:v>
      </x:c>
      <x:c r="B140" s="1" t="str">
        <x:v>1254</x:v>
      </x:c>
      <x:c r="C140" s="13" t="str">
        <x:v>risco</x:v>
      </x:c>
      <x:c r="D140" s="15" t="n">
        <x:f>Lotes!K18</x:f>
        <x:v>0</x:v>
      </x:c>
      <x:c r="E140" s="16" t="n">
        <x:v>0</x:v>
      </x:c>
      <x:c r="F140" s="13" t="str">
        <x:f>IF(ISBLANK(E140),"PENDENTE",IF(ABS(D140-E140)&lt;=Conferencia!$B$7,"COINCIDE","DIVERGE"))</x:f>
        <x:v>COINCIDE</x:v>
      </x:c>
      <x:c r="G140" s="17"/>
      <x:c r="H140" s="1" t="str">
        <x:v>TOLERÂNCIA</x:v>
      </x:c>
      <x:c r="I140" s="1"/>
      <x:c r="J140" s="1"/>
      <x:c r="K140" s="1"/>
      <x:c r="L140" s="1"/>
      <x:c r="M140" s="1"/>
      <x:c r="N140" s="1"/>
    </x:row>
    <x:row r="141" ht="35" customHeight="1">
      <x:c r="A141" s="1" t="str">
        <x:v>lote</x:v>
      </x:c>
      <x:c r="B141" s="1" t="str">
        <x:v>2183</x:v>
      </x:c>
      <x:c r="C141" s="13" t="str">
        <x:v>id_unidade</x:v>
      </x:c>
      <x:c r="D141" s="19" t="n">
        <x:f>Lotes!B19</x:f>
        <x:v>11</x:v>
      </x:c>
      <x:c r="E141" s="20" t="n">
        <x:v>11</x:v>
      </x:c>
      <x:c r="F141" s="13" t="str">
        <x:f>IF(ISBLANK(E141),"PENDENTE",IF(D141=E141,"COINCIDE","DIVERGE"))</x:f>
        <x:v>COINCIDE</x:v>
      </x:c>
      <x:c r="G141" s="17"/>
      <x:c r="H141" s="1" t="str">
        <x:v>EXATA</x:v>
      </x:c>
      <x:c r="I141" s="1"/>
      <x:c r="J141" s="1"/>
      <x:c r="K141" s="1"/>
      <x:c r="L141" s="1"/>
      <x:c r="M141" s="1"/>
      <x:c r="N141" s="1"/>
    </x:row>
    <x:row r="142" ht="35" customHeight="1">
      <x:c r="A142" s="1" t="str">
        <x:v>lote</x:v>
      </x:c>
      <x:c r="B142" s="1" t="str">
        <x:v>2183</x:v>
      </x:c>
      <x:c r="C142" s="13" t="str">
        <x:v>id_medicamento</x:v>
      </x:c>
      <x:c r="D142" s="19" t="n">
        <x:f>Lotes!C19</x:f>
        <x:v>66</x:v>
      </x:c>
      <x:c r="E142" s="20" t="n">
        <x:v>66</x:v>
      </x:c>
      <x:c r="F142" s="13" t="str">
        <x:f>IF(ISBLANK(E142),"PENDENTE",IF(D142=E142,"COINCIDE","DIVERGE"))</x:f>
        <x:v>COINCIDE</x:v>
      </x:c>
      <x:c r="G142" s="17"/>
      <x:c r="H142" s="1" t="str">
        <x:v>EXATA</x:v>
      </x:c>
      <x:c r="I142" s="1"/>
      <x:c r="J142" s="1"/>
      <x:c r="K142" s="1"/>
      <x:c r="L142" s="1"/>
      <x:c r="M142" s="1"/>
      <x:c r="N142" s="1"/>
    </x:row>
    <x:row r="143" ht="35" customHeight="1">
      <x:c r="A143" s="1" t="str">
        <x:v>lote</x:v>
      </x:c>
      <x:c r="B143" s="1" t="str">
        <x:v>2183</x:v>
      </x:c>
      <x:c r="C143" s="13" t="str">
        <x:v>dias_ate_validade</x:v>
      </x:c>
      <x:c r="D143" s="19" t="n">
        <x:f>Lotes!F19</x:f>
        <x:v>127</x:v>
      </x:c>
      <x:c r="E143" s="20" t="n">
        <x:v>127</x:v>
      </x:c>
      <x:c r="F143" s="13" t="str">
        <x:f>IF(ISBLANK(E143),"PENDENTE",IF(D143=E143,"COINCIDE","DIVERGE"))</x:f>
        <x:v>COINCIDE</x:v>
      </x:c>
      <x:c r="G143" s="17"/>
      <x:c r="H143" s="1" t="str">
        <x:v>EXATA</x:v>
      </x:c>
      <x:c r="I143" s="1"/>
      <x:c r="J143" s="1"/>
      <x:c r="K143" s="1"/>
      <x:c r="L143" s="1"/>
      <x:c r="M143" s="1"/>
      <x:c r="N143" s="1"/>
    </x:row>
    <x:row r="144" ht="35" customHeight="1">
      <x:c r="A144" s="1" t="str">
        <x:v>lote</x:v>
      </x:c>
      <x:c r="B144" s="1" t="str">
        <x:v>2183</x:v>
      </x:c>
      <x:c r="C144" s="13" t="str">
        <x:v>cmm</x:v>
      </x:c>
      <x:c r="D144" s="15" t="n">
        <x:f>Lotes!G19</x:f>
        <x:v>0</x:v>
      </x:c>
      <x:c r="E144" s="16" t="n">
        <x:v>0</x:v>
      </x:c>
      <x:c r="F144" s="13" t="str">
        <x:f>IF(ISBLANK(E144),"PENDENTE",IF(ABS(D144-E144)&lt;=Conferencia!$B$7,"COINCIDE","DIVERGE"))</x:f>
        <x:v>COINCIDE</x:v>
      </x:c>
      <x:c r="G144" s="17"/>
      <x:c r="H144" s="1" t="str">
        <x:v>TOLERÂNCIA</x:v>
      </x:c>
      <x:c r="I144" s="1"/>
      <x:c r="J144" s="1"/>
      <x:c r="K144" s="1"/>
      <x:c r="L144" s="1"/>
      <x:c r="M144" s="1"/>
      <x:c r="N144" s="1"/>
    </x:row>
    <x:row r="145" ht="35" customHeight="1">
      <x:c r="A145" s="1" t="str">
        <x:v>lote</x:v>
      </x:c>
      <x:c r="B145" s="1" t="str">
        <x:v>2183</x:v>
      </x:c>
      <x:c r="C145" s="13" t="str">
        <x:v>capacidade_acumulada</x:v>
      </x:c>
      <x:c r="D145" s="15" t="n">
        <x:f>Lotes!H19</x:f>
        <x:v>0</x:v>
      </x:c>
      <x:c r="E145" s="16" t="n">
        <x:v>0</x:v>
      </x:c>
      <x:c r="F145" s="13" t="str">
        <x:f>IF(ISBLANK(E145),"PENDENTE",IF(ABS(D145-E145)&lt;=Conferencia!$B$7,"COINCIDE","DIVERGE"))</x:f>
        <x:v>COINCIDE</x:v>
      </x:c>
      <x:c r="G145" s="17"/>
      <x:c r="H145" s="1" t="str">
        <x:v>TOLERÂNCIA</x:v>
      </x:c>
      <x:c r="I145" s="1"/>
      <x:c r="J145" s="1"/>
      <x:c r="K145" s="1"/>
      <x:c r="L145" s="1"/>
      <x:c r="M145" s="1"/>
      <x:c r="N145" s="1"/>
    </x:row>
    <x:row r="146" ht="35" customHeight="1">
      <x:c r="A146" s="1" t="str">
        <x:v>lote</x:v>
      </x:c>
      <x:c r="B146" s="1" t="str">
        <x:v>2183</x:v>
      </x:c>
      <x:c r="C146" s="13" t="str">
        <x:v>consumo_anterior</x:v>
      </x:c>
      <x:c r="D146" s="15" t="n">
        <x:f>Lotes!I19</x:f>
        <x:v>0</x:v>
      </x:c>
      <x:c r="E146" s="16" t="n">
        <x:v>0</x:v>
      </x:c>
      <x:c r="F146" s="13" t="str">
        <x:f>IF(ISBLANK(E146),"PENDENTE",IF(ABS(D146-E146)&lt;=Conferencia!$B$7,"COINCIDE","DIVERGE"))</x:f>
        <x:v>COINCIDE</x:v>
      </x:c>
      <x:c r="G146" s="17"/>
      <x:c r="H146" s="1" t="str">
        <x:v>TOLERÂNCIA</x:v>
      </x:c>
      <x:c r="I146" s="1"/>
      <x:c r="J146" s="1"/>
      <x:c r="K146" s="1"/>
      <x:c r="L146" s="1"/>
      <x:c r="M146" s="1"/>
      <x:c r="N146" s="1"/>
    </x:row>
    <x:row r="147" ht="35" customHeight="1">
      <x:c r="A147" s="1" t="str">
        <x:v>lote</x:v>
      </x:c>
      <x:c r="B147" s="1" t="str">
        <x:v>2183</x:v>
      </x:c>
      <x:c r="C147" s="13" t="str">
        <x:v>consumivel</x:v>
      </x:c>
      <x:c r="D147" s="15" t="n">
        <x:f>Lotes!J19</x:f>
        <x:v>0</x:v>
      </x:c>
      <x:c r="E147" s="16" t="n">
        <x:v>0</x:v>
      </x:c>
      <x:c r="F147" s="13" t="str">
        <x:f>IF(ISBLANK(E147),"PENDENTE",IF(ABS(D147-E147)&lt;=Conferencia!$B$7,"COINCIDE","DIVERGE"))</x:f>
        <x:v>COINCIDE</x:v>
      </x:c>
      <x:c r="G147" s="17"/>
      <x:c r="H147" s="1" t="str">
        <x:v>TOLERÂNCIA</x:v>
      </x:c>
      <x:c r="I147" s="1"/>
      <x:c r="J147" s="1"/>
      <x:c r="K147" s="1"/>
      <x:c r="L147" s="1"/>
      <x:c r="M147" s="1"/>
      <x:c r="N147" s="1"/>
    </x:row>
    <x:row r="148" ht="35" customHeight="1">
      <x:c r="A148" s="1" t="str">
        <x:v>lote</x:v>
      </x:c>
      <x:c r="B148" s="1" t="str">
        <x:v>2183</x:v>
      </x:c>
      <x:c r="C148" s="13" t="str">
        <x:v>risco</x:v>
      </x:c>
      <x:c r="D148" s="15" t="n">
        <x:f>Lotes!K19</x:f>
        <x:v>14</x:v>
      </x:c>
      <x:c r="E148" s="16" t="n">
        <x:v>14</x:v>
      </x:c>
      <x:c r="F148" s="13" t="str">
        <x:f>IF(ISBLANK(E148),"PENDENTE",IF(ABS(D148-E148)&lt;=Conferencia!$B$7,"COINCIDE","DIVERGE"))</x:f>
        <x:v>COINCIDE</x:v>
      </x:c>
      <x:c r="G148" s="17"/>
      <x:c r="H148" s="1" t="str">
        <x:v>TOLERÂNCIA</x:v>
      </x:c>
      <x:c r="I148" s="1"/>
      <x:c r="J148" s="1"/>
      <x:c r="K148" s="1"/>
      <x:c r="L148" s="1"/>
      <x:c r="M148" s="1"/>
      <x:c r="N148" s="1"/>
    </x:row>
    <x:row r="149" ht="35" customHeight="1">
      <x:c r="A149" s="1" t="str">
        <x:v>lote</x:v>
      </x:c>
      <x:c r="B149" s="1" t="str">
        <x:v>2642</x:v>
      </x:c>
      <x:c r="C149" s="13" t="str">
        <x:v>id_unidade</x:v>
      </x:c>
      <x:c r="D149" s="19" t="n">
        <x:f>Lotes!B20</x:f>
        <x:v>12</x:v>
      </x:c>
      <x:c r="E149" s="20" t="n">
        <x:v>12</x:v>
      </x:c>
      <x:c r="F149" s="13" t="str">
        <x:f>IF(ISBLANK(E149),"PENDENTE",IF(D149=E149,"COINCIDE","DIVERGE"))</x:f>
        <x:v>COINCIDE</x:v>
      </x:c>
      <x:c r="G149" s="17"/>
      <x:c r="H149" s="1" t="str">
        <x:v>EXATA</x:v>
      </x:c>
      <x:c r="I149" s="1"/>
      <x:c r="J149" s="1"/>
      <x:c r="K149" s="1"/>
      <x:c r="L149" s="1"/>
      <x:c r="M149" s="1"/>
      <x:c r="N149" s="1"/>
    </x:row>
    <x:row r="150" ht="35" customHeight="1">
      <x:c r="A150" s="1" t="str">
        <x:v>lote</x:v>
      </x:c>
      <x:c r="B150" s="1" t="str">
        <x:v>2642</x:v>
      </x:c>
      <x:c r="C150" s="13" t="str">
        <x:v>id_medicamento</x:v>
      </x:c>
      <x:c r="D150" s="19" t="n">
        <x:f>Lotes!C20</x:f>
        <x:v>111</x:v>
      </x:c>
      <x:c r="E150" s="20" t="n">
        <x:v>111</x:v>
      </x:c>
      <x:c r="F150" s="13" t="str">
        <x:f>IF(ISBLANK(E150),"PENDENTE",IF(D150=E150,"COINCIDE","DIVERGE"))</x:f>
        <x:v>COINCIDE</x:v>
      </x:c>
      <x:c r="G150" s="17"/>
      <x:c r="H150" s="1" t="str">
        <x:v>EXATA</x:v>
      </x:c>
      <x:c r="I150" s="1"/>
      <x:c r="J150" s="1"/>
      <x:c r="K150" s="1"/>
      <x:c r="L150" s="1"/>
      <x:c r="M150" s="1"/>
      <x:c r="N150" s="1"/>
    </x:row>
    <x:row r="151" ht="35" customHeight="1">
      <x:c r="A151" s="1" t="str">
        <x:v>lote</x:v>
      </x:c>
      <x:c r="B151" s="1" t="str">
        <x:v>2642</x:v>
      </x:c>
      <x:c r="C151" s="13" t="str">
        <x:v>dias_ate_validade</x:v>
      </x:c>
      <x:c r="D151" s="19" t="n">
        <x:f>Lotes!F20</x:f>
        <x:v>30</x:v>
      </x:c>
      <x:c r="E151" s="20" t="n">
        <x:v>30</x:v>
      </x:c>
      <x:c r="F151" s="13" t="str">
        <x:f>IF(ISBLANK(E151),"PENDENTE",IF(D151=E151,"COINCIDE","DIVERGE"))</x:f>
        <x:v>COINCIDE</x:v>
      </x:c>
      <x:c r="G151" s="17"/>
      <x:c r="H151" s="1" t="str">
        <x:v>EXATA</x:v>
      </x:c>
      <x:c r="I151" s="1"/>
      <x:c r="J151" s="1"/>
      <x:c r="K151" s="1"/>
      <x:c r="L151" s="1"/>
      <x:c r="M151" s="1"/>
      <x:c r="N151" s="1"/>
    </x:row>
    <x:row r="152" ht="35" customHeight="1">
      <x:c r="A152" s="1" t="str">
        <x:v>lote</x:v>
      </x:c>
      <x:c r="B152" s="1" t="str">
        <x:v>2642</x:v>
      </x:c>
      <x:c r="C152" s="13" t="str">
        <x:v>cmm</x:v>
      </x:c>
      <x:c r="D152" s="15" t="n">
        <x:f>Lotes!G20</x:f>
        <x:v>102</x:v>
      </x:c>
      <x:c r="E152" s="16" t="n">
        <x:v>102</x:v>
      </x:c>
      <x:c r="F152" s="13" t="str">
        <x:f>IF(ISBLANK(E152),"PENDENTE",IF(ABS(D152-E152)&lt;=Conferencia!$B$7,"COINCIDE","DIVERGE"))</x:f>
        <x:v>COINCIDE</x:v>
      </x:c>
      <x:c r="G152" s="17"/>
      <x:c r="H152" s="1" t="str">
        <x:v>TOLERÂNCIA</x:v>
      </x:c>
      <x:c r="I152" s="1"/>
      <x:c r="J152" s="1"/>
      <x:c r="K152" s="1"/>
      <x:c r="L152" s="1"/>
      <x:c r="M152" s="1"/>
      <x:c r="N152" s="1"/>
    </x:row>
    <x:row r="153" ht="35" customHeight="1">
      <x:c r="A153" s="1" t="str">
        <x:v>lote</x:v>
      </x:c>
      <x:c r="B153" s="1" t="str">
        <x:v>2642</x:v>
      </x:c>
      <x:c r="C153" s="13" t="str">
        <x:v>capacidade_acumulada</x:v>
      </x:c>
      <x:c r="D153" s="15" t="n">
        <x:f>Lotes!H20</x:f>
        <x:v>102</x:v>
      </x:c>
      <x:c r="E153" s="16" t="n">
        <x:v>102</x:v>
      </x:c>
      <x:c r="F153" s="13" t="str">
        <x:f>IF(ISBLANK(E153),"PENDENTE",IF(ABS(D153-E153)&lt;=Conferencia!$B$7,"COINCIDE","DIVERGE"))</x:f>
        <x:v>COINCIDE</x:v>
      </x:c>
      <x:c r="G153" s="17"/>
      <x:c r="H153" s="1" t="str">
        <x:v>TOLERÂNCIA</x:v>
      </x:c>
      <x:c r="I153" s="1"/>
      <x:c r="J153" s="1"/>
      <x:c r="K153" s="1"/>
      <x:c r="L153" s="1"/>
      <x:c r="M153" s="1"/>
      <x:c r="N153" s="1"/>
    </x:row>
    <x:row r="154" ht="35" customHeight="1">
      <x:c r="A154" s="1" t="str">
        <x:v>lote</x:v>
      </x:c>
      <x:c r="B154" s="1" t="str">
        <x:v>2642</x:v>
      </x:c>
      <x:c r="C154" s="13" t="str">
        <x:v>consumo_anterior</x:v>
      </x:c>
      <x:c r="D154" s="15" t="n">
        <x:f>Lotes!I20</x:f>
        <x:v>0</x:v>
      </x:c>
      <x:c r="E154" s="16" t="n">
        <x:v>0</x:v>
      </x:c>
      <x:c r="F154" s="13" t="str">
        <x:f>IF(ISBLANK(E154),"PENDENTE",IF(ABS(D154-E154)&lt;=Conferencia!$B$7,"COINCIDE","DIVERGE"))</x:f>
        <x:v>COINCIDE</x:v>
      </x:c>
      <x:c r="G154" s="17"/>
      <x:c r="H154" s="1" t="str">
        <x:v>TOLERÂNCIA</x:v>
      </x:c>
      <x:c r="I154" s="1"/>
      <x:c r="J154" s="1"/>
      <x:c r="K154" s="1"/>
      <x:c r="L154" s="1"/>
      <x:c r="M154" s="1"/>
      <x:c r="N154" s="1"/>
    </x:row>
    <x:row r="155" ht="35" customHeight="1">
      <x:c r="A155" s="1" t="str">
        <x:v>lote</x:v>
      </x:c>
      <x:c r="B155" s="1" t="str">
        <x:v>2642</x:v>
      </x:c>
      <x:c r="C155" s="13" t="str">
        <x:v>consumivel</x:v>
      </x:c>
      <x:c r="D155" s="15" t="n">
        <x:f>Lotes!J20</x:f>
        <x:v>1</x:v>
      </x:c>
      <x:c r="E155" s="16" t="n">
        <x:v>1</x:v>
      </x:c>
      <x:c r="F155" s="13" t="str">
        <x:f>IF(ISBLANK(E155),"PENDENTE",IF(ABS(D155-E155)&lt;=Conferencia!$B$7,"COINCIDE","DIVERGE"))</x:f>
        <x:v>COINCIDE</x:v>
      </x:c>
      <x:c r="G155" s="17"/>
      <x:c r="H155" s="1" t="str">
        <x:v>TOLERÂNCIA</x:v>
      </x:c>
      <x:c r="I155" s="1"/>
      <x:c r="J155" s="1"/>
      <x:c r="K155" s="1"/>
      <x:c r="L155" s="1"/>
      <x:c r="M155" s="1"/>
      <x:c r="N155" s="1"/>
    </x:row>
    <x:row r="156" ht="35" customHeight="1">
      <x:c r="A156" s="1" t="str">
        <x:v>lote</x:v>
      </x:c>
      <x:c r="B156" s="1" t="str">
        <x:v>2642</x:v>
      </x:c>
      <x:c r="C156" s="13" t="str">
        <x:v>risco</x:v>
      </x:c>
      <x:c r="D156" s="15" t="n">
        <x:f>Lotes!K20</x:f>
        <x:v>0</x:v>
      </x:c>
      <x:c r="E156" s="16" t="n">
        <x:v>0</x:v>
      </x:c>
      <x:c r="F156" s="13" t="str">
        <x:f>IF(ISBLANK(E156),"PENDENTE",IF(ABS(D156-E156)&lt;=Conferencia!$B$7,"COINCIDE","DIVERGE"))</x:f>
        <x:v>COINCIDE</x:v>
      </x:c>
      <x:c r="G156" s="17"/>
      <x:c r="H156" s="1" t="str">
        <x:v>TOLERÂNCIA</x:v>
      </x:c>
      <x:c r="I156" s="1"/>
      <x:c r="J156" s="1"/>
      <x:c r="K156" s="1"/>
      <x:c r="L156" s="1"/>
      <x:c r="M156" s="1"/>
      <x:c r="N156" s="1"/>
    </x:row>
    <x:row r="157" ht="35" customHeight="1">
      <x:c r="A157" s="1" t="str">
        <x:v>lote</x:v>
      </x:c>
      <x:c r="B157" s="1" t="str">
        <x:v>2644</x:v>
      </x:c>
      <x:c r="C157" s="13" t="str">
        <x:v>id_unidade</x:v>
      </x:c>
      <x:c r="D157" s="19" t="n">
        <x:f>Lotes!B21</x:f>
        <x:v>12</x:v>
      </x:c>
      <x:c r="E157" s="20" t="n">
        <x:v>12</x:v>
      </x:c>
      <x:c r="F157" s="13" t="str">
        <x:f>IF(ISBLANK(E157),"PENDENTE",IF(D157=E157,"COINCIDE","DIVERGE"))</x:f>
        <x:v>COINCIDE</x:v>
      </x:c>
      <x:c r="G157" s="17"/>
      <x:c r="H157" s="1" t="str">
        <x:v>EXATA</x:v>
      </x:c>
      <x:c r="I157" s="1"/>
      <x:c r="J157" s="1"/>
      <x:c r="K157" s="1"/>
      <x:c r="L157" s="1"/>
      <x:c r="M157" s="1"/>
      <x:c r="N157" s="1"/>
    </x:row>
    <x:row r="158" ht="35" customHeight="1">
      <x:c r="A158" s="1" t="str">
        <x:v>lote</x:v>
      </x:c>
      <x:c r="B158" s="1" t="str">
        <x:v>2644</x:v>
      </x:c>
      <x:c r="C158" s="13" t="str">
        <x:v>id_medicamento</x:v>
      </x:c>
      <x:c r="D158" s="19" t="n">
        <x:f>Lotes!C21</x:f>
        <x:v>111</x:v>
      </x:c>
      <x:c r="E158" s="20" t="n">
        <x:v>111</x:v>
      </x:c>
      <x:c r="F158" s="13" t="str">
        <x:f>IF(ISBLANK(E158),"PENDENTE",IF(D158=E158,"COINCIDE","DIVERGE"))</x:f>
        <x:v>COINCIDE</x:v>
      </x:c>
      <x:c r="G158" s="17"/>
      <x:c r="H158" s="1" t="str">
        <x:v>EXATA</x:v>
      </x:c>
      <x:c r="I158" s="1"/>
      <x:c r="J158" s="1"/>
      <x:c r="K158" s="1"/>
      <x:c r="L158" s="1"/>
      <x:c r="M158" s="1"/>
      <x:c r="N158" s="1"/>
    </x:row>
    <x:row r="159" ht="35" customHeight="1">
      <x:c r="A159" s="1" t="str">
        <x:v>lote</x:v>
      </x:c>
      <x:c r="B159" s="1" t="str">
        <x:v>2644</x:v>
      </x:c>
      <x:c r="C159" s="13" t="str">
        <x:v>dias_ate_validade</x:v>
      </x:c>
      <x:c r="D159" s="19" t="n">
        <x:f>Lotes!F21</x:f>
        <x:v>354</x:v>
      </x:c>
      <x:c r="E159" s="20" t="n">
        <x:v>354</x:v>
      </x:c>
      <x:c r="F159" s="13" t="str">
        <x:f>IF(ISBLANK(E159),"PENDENTE",IF(D159=E159,"COINCIDE","DIVERGE"))</x:f>
        <x:v>COINCIDE</x:v>
      </x:c>
      <x:c r="G159" s="17"/>
      <x:c r="H159" s="1" t="str">
        <x:v>EXATA</x:v>
      </x:c>
      <x:c r="I159" s="1"/>
      <x:c r="J159" s="1"/>
      <x:c r="K159" s="1"/>
      <x:c r="L159" s="1"/>
      <x:c r="M159" s="1"/>
      <x:c r="N159" s="1"/>
    </x:row>
    <x:row r="160" ht="35" customHeight="1">
      <x:c r="A160" s="1" t="str">
        <x:v>lote</x:v>
      </x:c>
      <x:c r="B160" s="1" t="str">
        <x:v>2644</x:v>
      </x:c>
      <x:c r="C160" s="13" t="str">
        <x:v>cmm</x:v>
      </x:c>
      <x:c r="D160" s="15" t="n">
        <x:f>Lotes!G21</x:f>
        <x:v>102</x:v>
      </x:c>
      <x:c r="E160" s="16" t="n">
        <x:v>102</x:v>
      </x:c>
      <x:c r="F160" s="13" t="str">
        <x:f>IF(ISBLANK(E160),"PENDENTE",IF(ABS(D160-E160)&lt;=Conferencia!$B$7,"COINCIDE","DIVERGE"))</x:f>
        <x:v>COINCIDE</x:v>
      </x:c>
      <x:c r="G160" s="17"/>
      <x:c r="H160" s="1" t="str">
        <x:v>TOLERÂNCIA</x:v>
      </x:c>
      <x:c r="I160" s="1"/>
      <x:c r="J160" s="1"/>
      <x:c r="K160" s="1"/>
      <x:c r="L160" s="1"/>
      <x:c r="M160" s="1"/>
      <x:c r="N160" s="1"/>
    </x:row>
    <x:row r="161" ht="35" customHeight="1">
      <x:c r="A161" s="1" t="str">
        <x:v>lote</x:v>
      </x:c>
      <x:c r="B161" s="1" t="str">
        <x:v>2644</x:v>
      </x:c>
      <x:c r="C161" s="13" t="str">
        <x:v>capacidade_acumulada</x:v>
      </x:c>
      <x:c r="D161" s="15" t="n">
        <x:f>Lotes!H21</x:f>
        <x:v>1203.6</x:v>
      </x:c>
      <x:c r="E161" s="16" t="n">
        <x:v>1203.6</x:v>
      </x:c>
      <x:c r="F161" s="13" t="str">
        <x:f>IF(ISBLANK(E161),"PENDENTE",IF(ABS(D161-E161)&lt;=Conferencia!$B$7,"COINCIDE","DIVERGE"))</x:f>
        <x:v>COINCIDE</x:v>
      </x:c>
      <x:c r="G161" s="17"/>
      <x:c r="H161" s="1" t="str">
        <x:v>TOLERÂNCIA</x:v>
      </x:c>
      <x:c r="I161" s="1"/>
      <x:c r="J161" s="1"/>
      <x:c r="K161" s="1"/>
      <x:c r="L161" s="1"/>
      <x:c r="M161" s="1"/>
      <x:c r="N161" s="1"/>
    </x:row>
    <x:row r="162" ht="35" customHeight="1">
      <x:c r="A162" s="1" t="str">
        <x:v>lote</x:v>
      </x:c>
      <x:c r="B162" s="1" t="str">
        <x:v>2644</x:v>
      </x:c>
      <x:c r="C162" s="13" t="str">
        <x:v>consumo_anterior</x:v>
      </x:c>
      <x:c r="D162" s="15" t="n">
        <x:f>Lotes!I21</x:f>
        <x:v>1</x:v>
      </x:c>
      <x:c r="E162" s="16" t="n">
        <x:v>1</x:v>
      </x:c>
      <x:c r="F162" s="13" t="str">
        <x:f>IF(ISBLANK(E162),"PENDENTE",IF(ABS(D162-E162)&lt;=Conferencia!$B$7,"COINCIDE","DIVERGE"))</x:f>
        <x:v>COINCIDE</x:v>
      </x:c>
      <x:c r="G162" s="17"/>
      <x:c r="H162" s="1" t="str">
        <x:v>TOLERÂNCIA</x:v>
      </x:c>
      <x:c r="I162" s="1"/>
      <x:c r="J162" s="1"/>
      <x:c r="K162" s="1"/>
      <x:c r="L162" s="1"/>
      <x:c r="M162" s="1"/>
      <x:c r="N162" s="1"/>
    </x:row>
    <x:row r="163" ht="35" customHeight="1">
      <x:c r="A163" s="1" t="str">
        <x:v>lote</x:v>
      </x:c>
      <x:c r="B163" s="1" t="str">
        <x:v>2644</x:v>
      </x:c>
      <x:c r="C163" s="13" t="str">
        <x:v>consumivel</x:v>
      </x:c>
      <x:c r="D163" s="15" t="n">
        <x:f>Lotes!J21</x:f>
        <x:v>1</x:v>
      </x:c>
      <x:c r="E163" s="16" t="n">
        <x:v>1</x:v>
      </x:c>
      <x:c r="F163" s="13" t="str">
        <x:f>IF(ISBLANK(E163),"PENDENTE",IF(ABS(D163-E163)&lt;=Conferencia!$B$7,"COINCIDE","DIVERGE"))</x:f>
        <x:v>COINCIDE</x:v>
      </x:c>
      <x:c r="G163" s="17"/>
      <x:c r="H163" s="1" t="str">
        <x:v>TOLERÂNCIA</x:v>
      </x:c>
      <x:c r="I163" s="1"/>
      <x:c r="J163" s="1"/>
      <x:c r="K163" s="1"/>
      <x:c r="L163" s="1"/>
      <x:c r="M163" s="1"/>
      <x:c r="N163" s="1"/>
    </x:row>
    <x:row r="164" ht="35" customHeight="1">
      <x:c r="A164" s="1" t="str">
        <x:v>lote</x:v>
      </x:c>
      <x:c r="B164" s="1" t="str">
        <x:v>2644</x:v>
      </x:c>
      <x:c r="C164" s="13" t="str">
        <x:v>risco</x:v>
      </x:c>
      <x:c r="D164" s="15" t="n">
        <x:f>Lotes!K21</x:f>
        <x:v>0</x:v>
      </x:c>
      <x:c r="E164" s="16" t="n">
        <x:v>0</x:v>
      </x:c>
      <x:c r="F164" s="13" t="str">
        <x:f>IF(ISBLANK(E164),"PENDENTE",IF(ABS(D164-E164)&lt;=Conferencia!$B$7,"COINCIDE","DIVERGE"))</x:f>
        <x:v>COINCIDE</x:v>
      </x:c>
      <x:c r="G164" s="17"/>
      <x:c r="H164" s="1" t="str">
        <x:v>TOLERÂNCIA</x:v>
      </x:c>
      <x:c r="I164" s="1"/>
      <x:c r="J164" s="1"/>
      <x:c r="K164" s="1"/>
      <x:c r="L164" s="1"/>
      <x:c r="M164" s="1"/>
      <x:c r="N164" s="1"/>
    </x:row>
    <x:row r="165" ht="35" customHeight="1">
      <x:c r="A165" s="1" t="str">
        <x:v>lote</x:v>
      </x:c>
      <x:c r="B165" s="1" t="str">
        <x:v>2643</x:v>
      </x:c>
      <x:c r="C165" s="13" t="str">
        <x:v>id_unidade</x:v>
      </x:c>
      <x:c r="D165" s="19" t="n">
        <x:f>Lotes!B22</x:f>
        <x:v>12</x:v>
      </x:c>
      <x:c r="E165" s="20" t="n">
        <x:v>12</x:v>
      </x:c>
      <x:c r="F165" s="13" t="str">
        <x:f>IF(ISBLANK(E165),"PENDENTE",IF(D165=E165,"COINCIDE","DIVERGE"))</x:f>
        <x:v>COINCIDE</x:v>
      </x:c>
      <x:c r="G165" s="17"/>
      <x:c r="H165" s="1" t="str">
        <x:v>EXATA</x:v>
      </x:c>
      <x:c r="I165" s="1"/>
      <x:c r="J165" s="1"/>
      <x:c r="K165" s="1"/>
      <x:c r="L165" s="1"/>
      <x:c r="M165" s="1"/>
      <x:c r="N165" s="1"/>
    </x:row>
    <x:row r="166" ht="35" customHeight="1">
      <x:c r="A166" s="1" t="str">
        <x:v>lote</x:v>
      </x:c>
      <x:c r="B166" s="1" t="str">
        <x:v>2643</x:v>
      </x:c>
      <x:c r="C166" s="13" t="str">
        <x:v>id_medicamento</x:v>
      </x:c>
      <x:c r="D166" s="19" t="n">
        <x:f>Lotes!C22</x:f>
        <x:v>111</x:v>
      </x:c>
      <x:c r="E166" s="20" t="n">
        <x:v>111</x:v>
      </x:c>
      <x:c r="F166" s="13" t="str">
        <x:f>IF(ISBLANK(E166),"PENDENTE",IF(D166=E166,"COINCIDE","DIVERGE"))</x:f>
        <x:v>COINCIDE</x:v>
      </x:c>
      <x:c r="G166" s="17"/>
      <x:c r="H166" s="1" t="str">
        <x:v>EXATA</x:v>
      </x:c>
      <x:c r="I166" s="1"/>
      <x:c r="J166" s="1"/>
      <x:c r="K166" s="1"/>
      <x:c r="L166" s="1"/>
      <x:c r="M166" s="1"/>
      <x:c r="N166" s="1"/>
    </x:row>
    <x:row r="167" ht="35" customHeight="1">
      <x:c r="A167" s="1" t="str">
        <x:v>lote</x:v>
      </x:c>
      <x:c r="B167" s="1" t="str">
        <x:v>2643</x:v>
      </x:c>
      <x:c r="C167" s="13" t="str">
        <x:v>dias_ate_validade</x:v>
      </x:c>
      <x:c r="D167" s="19" t="n">
        <x:f>Lotes!F22</x:f>
        <x:v>440</x:v>
      </x:c>
      <x:c r="E167" s="20" t="n">
        <x:v>440</x:v>
      </x:c>
      <x:c r="F167" s="13" t="str">
        <x:f>IF(ISBLANK(E167),"PENDENTE",IF(D167=E167,"COINCIDE","DIVERGE"))</x:f>
        <x:v>COINCIDE</x:v>
      </x:c>
      <x:c r="G167" s="17"/>
      <x:c r="H167" s="1" t="str">
        <x:v>EXATA</x:v>
      </x:c>
      <x:c r="I167" s="1"/>
      <x:c r="J167" s="1"/>
      <x:c r="K167" s="1"/>
      <x:c r="L167" s="1"/>
      <x:c r="M167" s="1"/>
      <x:c r="N167" s="1"/>
    </x:row>
    <x:row r="168" ht="35" customHeight="1">
      <x:c r="A168" s="1" t="str">
        <x:v>lote</x:v>
      </x:c>
      <x:c r="B168" s="1" t="str">
        <x:v>2643</x:v>
      </x:c>
      <x:c r="C168" s="13" t="str">
        <x:v>cmm</x:v>
      </x:c>
      <x:c r="D168" s="15" t="n">
        <x:f>Lotes!G22</x:f>
        <x:v>102</x:v>
      </x:c>
      <x:c r="E168" s="16" t="n">
        <x:v>102</x:v>
      </x:c>
      <x:c r="F168" s="13" t="str">
        <x:f>IF(ISBLANK(E168),"PENDENTE",IF(ABS(D168-E168)&lt;=Conferencia!$B$7,"COINCIDE","DIVERGE"))</x:f>
        <x:v>COINCIDE</x:v>
      </x:c>
      <x:c r="G168" s="17"/>
      <x:c r="H168" s="1" t="str">
        <x:v>TOLERÂNCIA</x:v>
      </x:c>
      <x:c r="I168" s="1"/>
      <x:c r="J168" s="1"/>
      <x:c r="K168" s="1"/>
      <x:c r="L168" s="1"/>
      <x:c r="M168" s="1"/>
      <x:c r="N168" s="1"/>
    </x:row>
    <x:row r="169" ht="35" customHeight="1">
      <x:c r="A169" s="1" t="str">
        <x:v>lote</x:v>
      </x:c>
      <x:c r="B169" s="1" t="str">
        <x:v>2643</x:v>
      </x:c>
      <x:c r="C169" s="13" t="str">
        <x:v>capacidade_acumulada</x:v>
      </x:c>
      <x:c r="D169" s="15" t="n">
        <x:f>Lotes!H22</x:f>
        <x:v>1496</x:v>
      </x:c>
      <x:c r="E169" s="16" t="n">
        <x:v>1496</x:v>
      </x:c>
      <x:c r="F169" s="13" t="str">
        <x:f>IF(ISBLANK(E169),"PENDENTE",IF(ABS(D169-E169)&lt;=Conferencia!$B$7,"COINCIDE","DIVERGE"))</x:f>
        <x:v>COINCIDE</x:v>
      </x:c>
      <x:c r="G169" s="17"/>
      <x:c r="H169" s="1" t="str">
        <x:v>TOLERÂNCIA</x:v>
      </x:c>
      <x:c r="I169" s="1"/>
      <x:c r="J169" s="1"/>
      <x:c r="K169" s="1"/>
      <x:c r="L169" s="1"/>
      <x:c r="M169" s="1"/>
      <x:c r="N169" s="1"/>
    </x:row>
    <x:row r="170" ht="35" customHeight="1">
      <x:c r="A170" s="1" t="str">
        <x:v>lote</x:v>
      </x:c>
      <x:c r="B170" s="1" t="str">
        <x:v>2643</x:v>
      </x:c>
      <x:c r="C170" s="13" t="str">
        <x:v>consumo_anterior</x:v>
      </x:c>
      <x:c r="D170" s="15" t="n">
        <x:f>Lotes!I22</x:f>
        <x:v>2</x:v>
      </x:c>
      <x:c r="E170" s="16" t="n">
        <x:v>2</x:v>
      </x:c>
      <x:c r="F170" s="13" t="str">
        <x:f>IF(ISBLANK(E170),"PENDENTE",IF(ABS(D170-E170)&lt;=Conferencia!$B$7,"COINCIDE","DIVERGE"))</x:f>
        <x:v>COINCIDE</x:v>
      </x:c>
      <x:c r="G170" s="17"/>
      <x:c r="H170" s="1" t="str">
        <x:v>TOLERÂNCIA</x:v>
      </x:c>
      <x:c r="I170" s="1"/>
      <x:c r="J170" s="1"/>
      <x:c r="K170" s="1"/>
      <x:c r="L170" s="1"/>
      <x:c r="M170" s="1"/>
      <x:c r="N170" s="1"/>
    </x:row>
    <x:row r="171" ht="35" customHeight="1">
      <x:c r="A171" s="1" t="str">
        <x:v>lote</x:v>
      </x:c>
      <x:c r="B171" s="1" t="str">
        <x:v>2643</x:v>
      </x:c>
      <x:c r="C171" s="13" t="str">
        <x:v>consumivel</x:v>
      </x:c>
      <x:c r="D171" s="15" t="n">
        <x:f>Lotes!J22</x:f>
        <x:v>2</x:v>
      </x:c>
      <x:c r="E171" s="16" t="n">
        <x:v>2</x:v>
      </x:c>
      <x:c r="F171" s="13" t="str">
        <x:f>IF(ISBLANK(E171),"PENDENTE",IF(ABS(D171-E171)&lt;=Conferencia!$B$7,"COINCIDE","DIVERGE"))</x:f>
        <x:v>COINCIDE</x:v>
      </x:c>
      <x:c r="G171" s="17"/>
      <x:c r="H171" s="1" t="str">
        <x:v>TOLERÂNCIA</x:v>
      </x:c>
      <x:c r="I171" s="1"/>
      <x:c r="J171" s="1"/>
      <x:c r="K171" s="1"/>
      <x:c r="L171" s="1"/>
      <x:c r="M171" s="1"/>
      <x:c r="N171" s="1"/>
    </x:row>
    <x:row r="172" ht="35" customHeight="1">
      <x:c r="A172" s="1" t="str">
        <x:v>lote</x:v>
      </x:c>
      <x:c r="B172" s="1" t="str">
        <x:v>2643</x:v>
      </x:c>
      <x:c r="C172" s="13" t="str">
        <x:v>risco</x:v>
      </x:c>
      <x:c r="D172" s="15" t="n">
        <x:f>Lotes!K22</x:f>
        <x:v>0</x:v>
      </x:c>
      <x:c r="E172" s="16" t="n">
        <x:v>0</x:v>
      </x:c>
      <x:c r="F172" s="13" t="str">
        <x:f>IF(ISBLANK(E172),"PENDENTE",IF(ABS(D172-E172)&lt;=Conferencia!$B$7,"COINCIDE","DIVERGE"))</x:f>
        <x:v>COINCIDE</x:v>
      </x:c>
      <x:c r="G172" s="17"/>
      <x:c r="H172" s="1" t="str">
        <x:v>TOLERÂNCIA</x:v>
      </x:c>
      <x:c r="I172" s="1"/>
      <x:c r="J172" s="1"/>
      <x:c r="K172" s="1"/>
      <x:c r="L172" s="1"/>
      <x:c r="M172" s="1"/>
      <x:c r="N172" s="1"/>
    </x:row>
    <x:row r="173" ht="35" customHeight="1">
      <x:c r="A173" s="1" t="str">
        <x:v>lote</x:v>
      </x:c>
      <x:c r="B173" s="1" t="str">
        <x:v>2645</x:v>
      </x:c>
      <x:c r="C173" s="13" t="str">
        <x:v>id_unidade</x:v>
      </x:c>
      <x:c r="D173" s="19" t="n">
        <x:f>Lotes!B23</x:f>
        <x:v>12</x:v>
      </x:c>
      <x:c r="E173" s="20" t="n">
        <x:v>12</x:v>
      </x:c>
      <x:c r="F173" s="13" t="str">
        <x:f>IF(ISBLANK(E173),"PENDENTE",IF(D173=E173,"COINCIDE","DIVERGE"))</x:f>
        <x:v>COINCIDE</x:v>
      </x:c>
      <x:c r="G173" s="17"/>
      <x:c r="H173" s="1" t="str">
        <x:v>EXATA</x:v>
      </x:c>
      <x:c r="I173" s="1"/>
      <x:c r="J173" s="1"/>
      <x:c r="K173" s="1"/>
      <x:c r="L173" s="1"/>
      <x:c r="M173" s="1"/>
      <x:c r="N173" s="1"/>
    </x:row>
    <x:row r="174" ht="35" customHeight="1">
      <x:c r="A174" s="1" t="str">
        <x:v>lote</x:v>
      </x:c>
      <x:c r="B174" s="1" t="str">
        <x:v>2645</x:v>
      </x:c>
      <x:c r="C174" s="13" t="str">
        <x:v>id_medicamento</x:v>
      </x:c>
      <x:c r="D174" s="19" t="n">
        <x:f>Lotes!C23</x:f>
        <x:v>111</x:v>
      </x:c>
      <x:c r="E174" s="20" t="n">
        <x:v>111</x:v>
      </x:c>
      <x:c r="F174" s="13" t="str">
        <x:f>IF(ISBLANK(E174),"PENDENTE",IF(D174=E174,"COINCIDE","DIVERGE"))</x:f>
        <x:v>COINCIDE</x:v>
      </x:c>
      <x:c r="G174" s="17"/>
      <x:c r="H174" s="1" t="str">
        <x:v>EXATA</x:v>
      </x:c>
      <x:c r="I174" s="1"/>
      <x:c r="J174" s="1"/>
      <x:c r="K174" s="1"/>
      <x:c r="L174" s="1"/>
      <x:c r="M174" s="1"/>
      <x:c r="N174" s="1"/>
    </x:row>
    <x:row r="175" ht="35" customHeight="1">
      <x:c r="A175" s="1" t="str">
        <x:v>lote</x:v>
      </x:c>
      <x:c r="B175" s="1" t="str">
        <x:v>2645</x:v>
      </x:c>
      <x:c r="C175" s="13" t="str">
        <x:v>dias_ate_validade</x:v>
      </x:c>
      <x:c r="D175" s="19" t="n">
        <x:f>Lotes!F23</x:f>
        <x:v>508</x:v>
      </x:c>
      <x:c r="E175" s="20" t="n">
        <x:v>508</x:v>
      </x:c>
      <x:c r="F175" s="13" t="str">
        <x:f>IF(ISBLANK(E175),"PENDENTE",IF(D175=E175,"COINCIDE","DIVERGE"))</x:f>
        <x:v>COINCIDE</x:v>
      </x:c>
      <x:c r="G175" s="17"/>
      <x:c r="H175" s="1" t="str">
        <x:v>EXATA</x:v>
      </x:c>
      <x:c r="I175" s="1"/>
      <x:c r="J175" s="1"/>
      <x:c r="K175" s="1"/>
      <x:c r="L175" s="1"/>
      <x:c r="M175" s="1"/>
      <x:c r="N175" s="1"/>
    </x:row>
    <x:row r="176" ht="35" customHeight="1">
      <x:c r="A176" s="1" t="str">
        <x:v>lote</x:v>
      </x:c>
      <x:c r="B176" s="1" t="str">
        <x:v>2645</x:v>
      </x:c>
      <x:c r="C176" s="13" t="str">
        <x:v>cmm</x:v>
      </x:c>
      <x:c r="D176" s="15" t="n">
        <x:f>Lotes!G23</x:f>
        <x:v>102</x:v>
      </x:c>
      <x:c r="E176" s="16" t="n">
        <x:v>102</x:v>
      </x:c>
      <x:c r="F176" s="13" t="str">
        <x:f>IF(ISBLANK(E176),"PENDENTE",IF(ABS(D176-E176)&lt;=Conferencia!$B$7,"COINCIDE","DIVERGE"))</x:f>
        <x:v>COINCIDE</x:v>
      </x:c>
      <x:c r="G176" s="17"/>
      <x:c r="H176" s="1" t="str">
        <x:v>TOLERÂNCIA</x:v>
      </x:c>
      <x:c r="I176" s="1"/>
      <x:c r="J176" s="1"/>
      <x:c r="K176" s="1"/>
      <x:c r="L176" s="1"/>
      <x:c r="M176" s="1"/>
      <x:c r="N176" s="1"/>
    </x:row>
    <x:row r="177" ht="35" customHeight="1">
      <x:c r="A177" s="1" t="str">
        <x:v>lote</x:v>
      </x:c>
      <x:c r="B177" s="1" t="str">
        <x:v>2645</x:v>
      </x:c>
      <x:c r="C177" s="13" t="str">
        <x:v>capacidade_acumulada</x:v>
      </x:c>
      <x:c r="D177" s="15" t="n">
        <x:f>Lotes!H23</x:f>
        <x:v>1727.2</x:v>
      </x:c>
      <x:c r="E177" s="16" t="n">
        <x:v>1727.2</x:v>
      </x:c>
      <x:c r="F177" s="13" t="str">
        <x:f>IF(ISBLANK(E177),"PENDENTE",IF(ABS(D177-E177)&lt;=Conferencia!$B$7,"COINCIDE","DIVERGE"))</x:f>
        <x:v>COINCIDE</x:v>
      </x:c>
      <x:c r="G177" s="17"/>
      <x:c r="H177" s="1" t="str">
        <x:v>TOLERÂNCIA</x:v>
      </x:c>
      <x:c r="I177" s="1"/>
      <x:c r="J177" s="1"/>
      <x:c r="K177" s="1"/>
      <x:c r="L177" s="1"/>
      <x:c r="M177" s="1"/>
      <x:c r="N177" s="1"/>
    </x:row>
    <x:row r="178" ht="35" customHeight="1">
      <x:c r="A178" s="1" t="str">
        <x:v>lote</x:v>
      </x:c>
      <x:c r="B178" s="1" t="str">
        <x:v>2645</x:v>
      </x:c>
      <x:c r="C178" s="13" t="str">
        <x:v>consumo_anterior</x:v>
      </x:c>
      <x:c r="D178" s="15" t="n">
        <x:f>Lotes!I23</x:f>
        <x:v>4</x:v>
      </x:c>
      <x:c r="E178" s="16" t="n">
        <x:v>4</x:v>
      </x:c>
      <x:c r="F178" s="13" t="str">
        <x:f>IF(ISBLANK(E178),"PENDENTE",IF(ABS(D178-E178)&lt;=Conferencia!$B$7,"COINCIDE","DIVERGE"))</x:f>
        <x:v>COINCIDE</x:v>
      </x:c>
      <x:c r="G178" s="17"/>
      <x:c r="H178" s="1" t="str">
        <x:v>TOLERÂNCIA</x:v>
      </x:c>
      <x:c r="I178" s="1"/>
      <x:c r="J178" s="1"/>
      <x:c r="K178" s="1"/>
      <x:c r="L178" s="1"/>
      <x:c r="M178" s="1"/>
      <x:c r="N178" s="1"/>
    </x:row>
    <x:row r="179" ht="35" customHeight="1">
      <x:c r="A179" s="1" t="str">
        <x:v>lote</x:v>
      </x:c>
      <x:c r="B179" s="1" t="str">
        <x:v>2645</x:v>
      </x:c>
      <x:c r="C179" s="13" t="str">
        <x:v>consumivel</x:v>
      </x:c>
      <x:c r="D179" s="15" t="n">
        <x:f>Lotes!J23</x:f>
        <x:v>1</x:v>
      </x:c>
      <x:c r="E179" s="16" t="n">
        <x:v>1</x:v>
      </x:c>
      <x:c r="F179" s="13" t="str">
        <x:f>IF(ISBLANK(E179),"PENDENTE",IF(ABS(D179-E179)&lt;=Conferencia!$B$7,"COINCIDE","DIVERGE"))</x:f>
        <x:v>COINCIDE</x:v>
      </x:c>
      <x:c r="G179" s="17"/>
      <x:c r="H179" s="1" t="str">
        <x:v>TOLERÂNCIA</x:v>
      </x:c>
      <x:c r="I179" s="1"/>
      <x:c r="J179" s="1"/>
      <x:c r="K179" s="1"/>
      <x:c r="L179" s="1"/>
      <x:c r="M179" s="1"/>
      <x:c r="N179" s="1"/>
    </x:row>
    <x:row r="180" ht="35" customHeight="1">
      <x:c r="A180" s="1" t="str">
        <x:v>lote</x:v>
      </x:c>
      <x:c r="B180" s="1" t="str">
        <x:v>2645</x:v>
      </x:c>
      <x:c r="C180" s="13" t="str">
        <x:v>risco</x:v>
      </x:c>
      <x:c r="D180" s="15" t="n">
        <x:f>Lotes!K23</x:f>
        <x:v>0</x:v>
      </x:c>
      <x:c r="E180" s="16" t="n">
        <x:v>0</x:v>
      </x:c>
      <x:c r="F180" s="13" t="str">
        <x:f>IF(ISBLANK(E180),"PENDENTE",IF(ABS(D180-E180)&lt;=Conferencia!$B$7,"COINCIDE","DIVERGE"))</x:f>
        <x:v>COINCIDE</x:v>
      </x:c>
      <x:c r="G180" s="17"/>
      <x:c r="H180" s="1" t="str">
        <x:v>TOLERÂNCIA</x:v>
      </x:c>
      <x:c r="I180" s="1"/>
      <x:c r="J180" s="1"/>
      <x:c r="K180" s="1"/>
      <x:c r="L180" s="1"/>
      <x:c r="M180" s="1"/>
      <x:c r="N180" s="1"/>
    </x:row>
    <x:row r="181" ht="35" customHeight="1">
      <x:c r="A181" s="1" t="str">
        <x:v>capacidade</x:v>
      </x:c>
      <x:c r="B181" s="1" t="str">
        <x:v>2183|1</x:v>
      </x:c>
      <x:c r="C181" s="13" t="str">
        <x:v>cmm_destino</x:v>
      </x:c>
      <x:c r="D181" s="15" t="n">
        <x:f>Capacidade!C5</x:f>
        <x:v>91.16666666666667</x:v>
      </x:c>
      <x:c r="E181" s="16" t="n">
        <x:v>91.16666666666667</x:v>
      </x:c>
      <x:c r="F181" s="13" t="str">
        <x:f>IF(ISBLANK(E181),"PENDENTE",IF(ABS(D181-E181)&lt;=Conferencia!$B$7,"COINCIDE","DIVERGE"))</x:f>
        <x:v>COINCIDE</x:v>
      </x:c>
      <x:c r="G181" s="17"/>
      <x:c r="H181" s="1" t="str">
        <x:v>TOLERÂNCIA</x:v>
      </x:c>
      <x:c r="I181" s="1"/>
      <x:c r="J181" s="1"/>
      <x:c r="K181" s="1"/>
      <x:c r="L181" s="1"/>
      <x:c r="M181" s="1"/>
      <x:c r="N181" s="1"/>
    </x:row>
    <x:row r="182" ht="35" customHeight="1">
      <x:c r="A182" s="1" t="str">
        <x:v>capacidade</x:v>
      </x:c>
      <x:c r="B182" s="1" t="str">
        <x:v>2183|1</x:v>
      </x:c>
      <x:c r="C182" s="13" t="str">
        <x:v>capacidade_livre</x:v>
      </x:c>
      <x:c r="D182" s="15" t="n">
        <x:f>Capacidade!D5</x:f>
        <x:v>385.9388888888889</x:v>
      </x:c>
      <x:c r="E182" s="16" t="n">
        <x:v>385.9388888888889</x:v>
      </x:c>
      <x:c r="F182" s="13" t="str">
        <x:f>IF(ISBLANK(E182),"PENDENTE",IF(ABS(D182-E182)&lt;=Conferencia!$B$7,"COINCIDE","DIVERGE"))</x:f>
        <x:v>COINCIDE</x:v>
      </x:c>
      <x:c r="G182" s="17"/>
      <x:c r="H182" s="1" t="str">
        <x:v>TOLERÂNCIA</x:v>
      </x:c>
      <x:c r="I182" s="1"/>
      <x:c r="J182" s="1"/>
      <x:c r="K182" s="1"/>
      <x:c r="L182" s="1"/>
      <x:c r="M182" s="1"/>
      <x:c r="N182" s="1"/>
    </x:row>
    <x:row r="183" ht="35" customHeight="1">
      <x:c r="A183" s="1" t="str">
        <x:v>capacidade</x:v>
      </x:c>
      <x:c r="B183" s="1" t="str">
        <x:v>2183|1</x:v>
      </x:c>
      <x:c r="C183" s="13" t="str">
        <x:v>capacidade_sem_novo_risco</x:v>
      </x:c>
      <x:c r="D183" s="15" t="n">
        <x:f>Capacidade!E5</x:f>
        <x:v>385.9388888888889</x:v>
      </x:c>
      <x:c r="E183" s="16" t="n">
        <x:v>385.9388888888889</x:v>
      </x:c>
      <x:c r="F183" s="13" t="str">
        <x:f>IF(ISBLANK(E183),"PENDENTE",IF(ABS(D183-E183)&lt;=Conferencia!$B$7,"COINCIDE","DIVERGE"))</x:f>
        <x:v>COINCIDE</x:v>
      </x:c>
      <x:c r="G183" s="17"/>
      <x:c r="H183" s="1" t="str">
        <x:v>TOLERÂNCIA</x:v>
      </x:c>
      <x:c r="I183" s="1"/>
      <x:c r="J183" s="1"/>
      <x:c r="K183" s="1"/>
      <x:c r="L183" s="1"/>
      <x:c r="M183" s="1"/>
      <x:c r="N183" s="1"/>
    </x:row>
    <x:row r="184" ht="35" customHeight="1">
      <x:c r="A184" s="1" t="str">
        <x:v>capacidade</x:v>
      </x:c>
      <x:c r="B184" s="1" t="str">
        <x:v>2183|1</x:v>
      </x:c>
      <x:c r="C184" s="13" t="str">
        <x:v>quantidade_admissivel</x:v>
      </x:c>
      <x:c r="D184" s="19" t="n">
        <x:f>Capacidade!F5</x:f>
        <x:v>14</x:v>
      </x:c>
      <x:c r="E184" s="20" t="n">
        <x:v>14</x:v>
      </x:c>
      <x:c r="F184" s="13" t="str">
        <x:f>IF(ISBLANK(E184),"PENDENTE",IF(D184=E184,"COINCIDE","DIVERGE"))</x:f>
        <x:v>COINCIDE</x:v>
      </x:c>
      <x:c r="G184" s="17"/>
      <x:c r="H184" s="1" t="str">
        <x:v>EXATA</x:v>
      </x:c>
      <x:c r="I184" s="1"/>
      <x:c r="J184" s="1"/>
      <x:c r="K184" s="1"/>
      <x:c r="L184" s="1"/>
      <x:c r="M184" s="1"/>
      <x:c r="N184" s="1"/>
    </x:row>
    <x:row r="185" ht="35" customHeight="1">
      <x:c r="A185" s="1" t="str">
        <x:v>capacidade</x:v>
      </x:c>
      <x:c r="B185" s="1" t="str">
        <x:v>2183|1</x:v>
      </x:c>
      <x:c r="C185" s="13" t="str">
        <x:v>motivo</x:v>
      </x:c>
      <x:c r="D185" s="15" t="str">
        <x:f>Capacidade!G5</x:f>
        <x:v>ADMISSIVEL</x:v>
      </x:c>
      <x:c r="E185" s="16" t="str">
        <x:v>ADMISSIVEL</x:v>
      </x:c>
      <x:c r="F185" s="13" t="str">
        <x:f>IF(ISBLANK(E185),"PENDENTE",IF(D185=E185,"COINCIDE","DIVERGE"))</x:f>
        <x:v>COINCIDE</x:v>
      </x:c>
      <x:c r="G185" s="17"/>
      <x:c r="H185" s="1" t="str">
        <x:v>EXATA</x:v>
      </x:c>
      <x:c r="I185" s="1"/>
      <x:c r="J185" s="1"/>
      <x:c r="K185" s="1"/>
      <x:c r="L185" s="1"/>
      <x:c r="M185" s="1"/>
      <x:c r="N185" s="1"/>
    </x:row>
    <x:row r="186" ht="35" customHeight="1">
      <x:c r="A186" s="1" t="str">
        <x:v>capacidade</x:v>
      </x:c>
      <x:c r="B186" s="1" t="str">
        <x:v>2183|2</x:v>
      </x:c>
      <x:c r="C186" s="13" t="str">
        <x:v>cmm_destino</x:v>
      </x:c>
      <x:c r="D186" s="15" t="n">
        <x:f>Capacidade!C6</x:f>
        <x:v>82.33333333333333</x:v>
      </x:c>
      <x:c r="E186" s="16" t="n">
        <x:v>82.33333333333333</x:v>
      </x:c>
      <x:c r="F186" s="13" t="str">
        <x:f>IF(ISBLANK(E186),"PENDENTE",IF(ABS(D186-E186)&lt;=Conferencia!$B$7,"COINCIDE","DIVERGE"))</x:f>
        <x:v>COINCIDE</x:v>
      </x:c>
      <x:c r="G186" s="17"/>
      <x:c r="H186" s="1" t="str">
        <x:v>TOLERÂNCIA</x:v>
      </x:c>
      <x:c r="I186" s="1"/>
      <x:c r="J186" s="1"/>
      <x:c r="K186" s="1"/>
      <x:c r="L186" s="1"/>
      <x:c r="M186" s="1"/>
      <x:c r="N186" s="1"/>
    </x:row>
    <x:row r="187" ht="35" customHeight="1">
      <x:c r="A187" s="1" t="str">
        <x:v>capacidade</x:v>
      </x:c>
      <x:c r="B187" s="1" t="str">
        <x:v>2183|2</x:v>
      </x:c>
      <x:c r="C187" s="13" t="str">
        <x:v>capacidade_livre</x:v>
      </x:c>
      <x:c r="D187" s="15" t="n">
        <x:f>Capacidade!D6</x:f>
        <x:v>348.5444444444444</x:v>
      </x:c>
      <x:c r="E187" s="16" t="n">
        <x:v>348.5444444444444</x:v>
      </x:c>
      <x:c r="F187" s="13" t="str">
        <x:f>IF(ISBLANK(E187),"PENDENTE",IF(ABS(D187-E187)&lt;=Conferencia!$B$7,"COINCIDE","DIVERGE"))</x:f>
        <x:v>COINCIDE</x:v>
      </x:c>
      <x:c r="G187" s="17"/>
      <x:c r="H187" s="1" t="str">
        <x:v>TOLERÂNCIA</x:v>
      </x:c>
      <x:c r="I187" s="1"/>
      <x:c r="J187" s="1"/>
      <x:c r="K187" s="1"/>
      <x:c r="L187" s="1"/>
      <x:c r="M187" s="1"/>
      <x:c r="N187" s="1"/>
    </x:row>
    <x:row r="188" ht="35" customHeight="1">
      <x:c r="A188" s="1" t="str">
        <x:v>capacidade</x:v>
      </x:c>
      <x:c r="B188" s="1" t="str">
        <x:v>2183|2</x:v>
      </x:c>
      <x:c r="C188" s="13" t="str">
        <x:v>capacidade_sem_novo_risco</x:v>
      </x:c>
      <x:c r="D188" s="15" t="n">
        <x:f>Capacidade!E6</x:f>
        <x:v>348.5444444444444</x:v>
      </x:c>
      <x:c r="E188" s="16" t="n">
        <x:v>348.5444444444444</x:v>
      </x:c>
      <x:c r="F188" s="13" t="str">
        <x:f>IF(ISBLANK(E188),"PENDENTE",IF(ABS(D188-E188)&lt;=Conferencia!$B$7,"COINCIDE","DIVERGE"))</x:f>
        <x:v>COINCIDE</x:v>
      </x:c>
      <x:c r="G188" s="17"/>
      <x:c r="H188" s="1" t="str">
        <x:v>TOLERÂNCIA</x:v>
      </x:c>
      <x:c r="I188" s="1"/>
      <x:c r="J188" s="1"/>
      <x:c r="K188" s="1"/>
      <x:c r="L188" s="1"/>
      <x:c r="M188" s="1"/>
      <x:c r="N188" s="1"/>
    </x:row>
    <x:row r="189" ht="35" customHeight="1">
      <x:c r="A189" s="1" t="str">
        <x:v>capacidade</x:v>
      </x:c>
      <x:c r="B189" s="1" t="str">
        <x:v>2183|2</x:v>
      </x:c>
      <x:c r="C189" s="13" t="str">
        <x:v>quantidade_admissivel</x:v>
      </x:c>
      <x:c r="D189" s="19" t="n">
        <x:f>Capacidade!F6</x:f>
        <x:v>14</x:v>
      </x:c>
      <x:c r="E189" s="20" t="n">
        <x:v>14</x:v>
      </x:c>
      <x:c r="F189" s="13" t="str">
        <x:f>IF(ISBLANK(E189),"PENDENTE",IF(D189=E189,"COINCIDE","DIVERGE"))</x:f>
        <x:v>COINCIDE</x:v>
      </x:c>
      <x:c r="G189" s="17"/>
      <x:c r="H189" s="1" t="str">
        <x:v>EXATA</x:v>
      </x:c>
      <x:c r="I189" s="1"/>
      <x:c r="J189" s="1"/>
      <x:c r="K189" s="1"/>
      <x:c r="L189" s="1"/>
      <x:c r="M189" s="1"/>
      <x:c r="N189" s="1"/>
    </x:row>
    <x:row r="190" ht="35" customHeight="1">
      <x:c r="A190" s="1" t="str">
        <x:v>capacidade</x:v>
      </x:c>
      <x:c r="B190" s="1" t="str">
        <x:v>2183|2</x:v>
      </x:c>
      <x:c r="C190" s="13" t="str">
        <x:v>motivo</x:v>
      </x:c>
      <x:c r="D190" s="15" t="str">
        <x:f>Capacidade!G6</x:f>
        <x:v>ADMISSIVEL</x:v>
      </x:c>
      <x:c r="E190" s="16" t="str">
        <x:v>ADMISSIVEL</x:v>
      </x:c>
      <x:c r="F190" s="13" t="str">
        <x:f>IF(ISBLANK(E190),"PENDENTE",IF(D190=E190,"COINCIDE","DIVERGE"))</x:f>
        <x:v>COINCIDE</x:v>
      </x:c>
      <x:c r="G190" s="17"/>
      <x:c r="H190" s="1" t="str">
        <x:v>EXATA</x:v>
      </x:c>
      <x:c r="I190" s="1"/>
      <x:c r="J190" s="1"/>
      <x:c r="K190" s="1"/>
      <x:c r="L190" s="1"/>
      <x:c r="M190" s="1"/>
      <x:c r="N190" s="1"/>
    </x:row>
    <x:row r="191" ht="35" customHeight="1">
      <x:c r="A191" s="1" t="str">
        <x:v>capacidade</x:v>
      </x:c>
      <x:c r="B191" s="1" t="str">
        <x:v>2183|3</x:v>
      </x:c>
      <x:c r="C191" s="13" t="str">
        <x:v>cmm_destino</x:v>
      </x:c>
      <x:c r="D191" s="15" t="n">
        <x:f>Capacidade!C7</x:f>
        <x:v>81.66666666666667</x:v>
      </x:c>
      <x:c r="E191" s="16" t="n">
        <x:v>81.66666666666667</x:v>
      </x:c>
      <x:c r="F191" s="13" t="str">
        <x:f>IF(ISBLANK(E191),"PENDENTE",IF(ABS(D191-E191)&lt;=Conferencia!$B$7,"COINCIDE","DIVERGE"))</x:f>
        <x:v>COINCIDE</x:v>
      </x:c>
      <x:c r="G191" s="17"/>
      <x:c r="H191" s="1" t="str">
        <x:v>TOLERÂNCIA</x:v>
      </x:c>
      <x:c r="I191" s="1"/>
      <x:c r="J191" s="1"/>
      <x:c r="K191" s="1"/>
      <x:c r="L191" s="1"/>
      <x:c r="M191" s="1"/>
      <x:c r="N191" s="1"/>
    </x:row>
    <x:row r="192" ht="35" customHeight="1">
      <x:c r="A192" s="1" t="str">
        <x:v>capacidade</x:v>
      </x:c>
      <x:c r="B192" s="1" t="str">
        <x:v>2183|3</x:v>
      </x:c>
      <x:c r="C192" s="13" t="str">
        <x:v>capacidade_livre</x:v>
      </x:c>
      <x:c r="D192" s="15" t="n">
        <x:f>Capacidade!D7</x:f>
        <x:v>345.7222222222223</x:v>
      </x:c>
      <x:c r="E192" s="16" t="n">
        <x:v>345.7222222222223</x:v>
      </x:c>
      <x:c r="F192" s="13" t="str">
        <x:f>IF(ISBLANK(E192),"PENDENTE",IF(ABS(D192-E192)&lt;=Conferencia!$B$7,"COINCIDE","DIVERGE"))</x:f>
        <x:v>COINCIDE</x:v>
      </x:c>
      <x:c r="G192" s="17"/>
      <x:c r="H192" s="1" t="str">
        <x:v>TOLERÂNCIA</x:v>
      </x:c>
      <x:c r="I192" s="1"/>
      <x:c r="J192" s="1"/>
      <x:c r="K192" s="1"/>
      <x:c r="L192" s="1"/>
      <x:c r="M192" s="1"/>
      <x:c r="N192" s="1"/>
    </x:row>
    <x:row r="193" ht="35" customHeight="1">
      <x:c r="A193" s="1" t="str">
        <x:v>capacidade</x:v>
      </x:c>
      <x:c r="B193" s="1" t="str">
        <x:v>2183|3</x:v>
      </x:c>
      <x:c r="C193" s="13" t="str">
        <x:v>capacidade_sem_novo_risco</x:v>
      </x:c>
      <x:c r="D193" s="15" t="n">
        <x:f>Capacidade!E7</x:f>
        <x:v>345.7222222222223</x:v>
      </x:c>
      <x:c r="E193" s="16" t="n">
        <x:v>345.7222222222223</x:v>
      </x:c>
      <x:c r="F193" s="13" t="str">
        <x:f>IF(ISBLANK(E193),"PENDENTE",IF(ABS(D193-E193)&lt;=Conferencia!$B$7,"COINCIDE","DIVERGE"))</x:f>
        <x:v>COINCIDE</x:v>
      </x:c>
      <x:c r="G193" s="17"/>
      <x:c r="H193" s="1" t="str">
        <x:v>TOLERÂNCIA</x:v>
      </x:c>
      <x:c r="I193" s="1"/>
      <x:c r="J193" s="1"/>
      <x:c r="K193" s="1"/>
      <x:c r="L193" s="1"/>
      <x:c r="M193" s="1"/>
      <x:c r="N193" s="1"/>
    </x:row>
    <x:row r="194" ht="35" customHeight="1">
      <x:c r="A194" s="1" t="str">
        <x:v>capacidade</x:v>
      </x:c>
      <x:c r="B194" s="1" t="str">
        <x:v>2183|3</x:v>
      </x:c>
      <x:c r="C194" s="13" t="str">
        <x:v>quantidade_admissivel</x:v>
      </x:c>
      <x:c r="D194" s="19" t="n">
        <x:f>Capacidade!F7</x:f>
        <x:v>14</x:v>
      </x:c>
      <x:c r="E194" s="20" t="n">
        <x:v>14</x:v>
      </x:c>
      <x:c r="F194" s="13" t="str">
        <x:f>IF(ISBLANK(E194),"PENDENTE",IF(D194=E194,"COINCIDE","DIVERGE"))</x:f>
        <x:v>COINCIDE</x:v>
      </x:c>
      <x:c r="G194" s="17"/>
      <x:c r="H194" s="1" t="str">
        <x:v>EXATA</x:v>
      </x:c>
      <x:c r="I194" s="1"/>
      <x:c r="J194" s="1"/>
      <x:c r="K194" s="1"/>
      <x:c r="L194" s="1"/>
      <x:c r="M194" s="1"/>
      <x:c r="N194" s="1"/>
    </x:row>
    <x:row r="195" ht="35" customHeight="1">
      <x:c r="A195" s="1" t="str">
        <x:v>capacidade</x:v>
      </x:c>
      <x:c r="B195" s="1" t="str">
        <x:v>2183|3</x:v>
      </x:c>
      <x:c r="C195" s="13" t="str">
        <x:v>motivo</x:v>
      </x:c>
      <x:c r="D195" s="15" t="str">
        <x:f>Capacidade!G7</x:f>
        <x:v>ADMISSIVEL</x:v>
      </x:c>
      <x:c r="E195" s="16" t="str">
        <x:v>ADMISSIVEL</x:v>
      </x:c>
      <x:c r="F195" s="13" t="str">
        <x:f>IF(ISBLANK(E195),"PENDENTE",IF(D195=E195,"COINCIDE","DIVERGE"))</x:f>
        <x:v>COINCIDE</x:v>
      </x:c>
      <x:c r="G195" s="17"/>
      <x:c r="H195" s="1" t="str">
        <x:v>EXATA</x:v>
      </x:c>
      <x:c r="I195" s="1"/>
      <x:c r="J195" s="1"/>
      <x:c r="K195" s="1"/>
      <x:c r="L195" s="1"/>
      <x:c r="M195" s="1"/>
      <x:c r="N195" s="1"/>
    </x:row>
    <x:row r="196" ht="35" customHeight="1">
      <x:c r="A196" s="1" t="str">
        <x:v>capacidade</x:v>
      </x:c>
      <x:c r="B196" s="1" t="str">
        <x:v>2183|4</x:v>
      </x:c>
      <x:c r="C196" s="13" t="str">
        <x:v>cmm_destino</x:v>
      </x:c>
      <x:c r="D196" s="15" t="n">
        <x:f>Capacidade!C8</x:f>
        <x:v>90.83333333333333</x:v>
      </x:c>
      <x:c r="E196" s="16" t="n">
        <x:v>90.83333333333333</x:v>
      </x:c>
      <x:c r="F196" s="13" t="str">
        <x:f>IF(ISBLANK(E196),"PENDENTE",IF(ABS(D196-E196)&lt;=Conferencia!$B$7,"COINCIDE","DIVERGE"))</x:f>
        <x:v>COINCIDE</x:v>
      </x:c>
      <x:c r="G196" s="17"/>
      <x:c r="H196" s="1" t="str">
        <x:v>TOLERÂNCIA</x:v>
      </x:c>
      <x:c r="I196" s="1"/>
      <x:c r="J196" s="1"/>
      <x:c r="K196" s="1"/>
      <x:c r="L196" s="1"/>
      <x:c r="M196" s="1"/>
      <x:c r="N196" s="1"/>
    </x:row>
    <x:row r="197" ht="35" customHeight="1">
      <x:c r="A197" s="1" t="str">
        <x:v>capacidade</x:v>
      </x:c>
      <x:c r="B197" s="1" t="str">
        <x:v>2183|4</x:v>
      </x:c>
      <x:c r="C197" s="13" t="str">
        <x:v>capacidade_livre</x:v>
      </x:c>
      <x:c r="D197" s="15" t="n">
        <x:f>Capacidade!D8</x:f>
        <x:v>384.5277777777777</x:v>
      </x:c>
      <x:c r="E197" s="16" t="n">
        <x:v>384.5277777777777</x:v>
      </x:c>
      <x:c r="F197" s="13" t="str">
        <x:f>IF(ISBLANK(E197),"PENDENTE",IF(ABS(D197-E197)&lt;=Conferencia!$B$7,"COINCIDE","DIVERGE"))</x:f>
        <x:v>COINCIDE</x:v>
      </x:c>
      <x:c r="G197" s="17"/>
      <x:c r="H197" s="1" t="str">
        <x:v>TOLERÂNCIA</x:v>
      </x:c>
      <x:c r="I197" s="1"/>
      <x:c r="J197" s="1"/>
      <x:c r="K197" s="1"/>
      <x:c r="L197" s="1"/>
      <x:c r="M197" s="1"/>
      <x:c r="N197" s="1"/>
    </x:row>
    <x:row r="198" ht="35" customHeight="1">
      <x:c r="A198" s="1" t="str">
        <x:v>capacidade</x:v>
      </x:c>
      <x:c r="B198" s="1" t="str">
        <x:v>2183|4</x:v>
      </x:c>
      <x:c r="C198" s="13" t="str">
        <x:v>capacidade_sem_novo_risco</x:v>
      </x:c>
      <x:c r="D198" s="15" t="n">
        <x:f>Capacidade!E8</x:f>
        <x:v>384.5277777777777</x:v>
      </x:c>
      <x:c r="E198" s="16" t="n">
        <x:v>384.5277777777777</x:v>
      </x:c>
      <x:c r="F198" s="13" t="str">
        <x:f>IF(ISBLANK(E198),"PENDENTE",IF(ABS(D198-E198)&lt;=Conferencia!$B$7,"COINCIDE","DIVERGE"))</x:f>
        <x:v>COINCIDE</x:v>
      </x:c>
      <x:c r="G198" s="17"/>
      <x:c r="H198" s="1" t="str">
        <x:v>TOLERÂNCIA</x:v>
      </x:c>
      <x:c r="I198" s="1"/>
      <x:c r="J198" s="1"/>
      <x:c r="K198" s="1"/>
      <x:c r="L198" s="1"/>
      <x:c r="M198" s="1"/>
      <x:c r="N198" s="1"/>
    </x:row>
    <x:row r="199" ht="35" customHeight="1">
      <x:c r="A199" s="1" t="str">
        <x:v>capacidade</x:v>
      </x:c>
      <x:c r="B199" s="1" t="str">
        <x:v>2183|4</x:v>
      </x:c>
      <x:c r="C199" s="13" t="str">
        <x:v>quantidade_admissivel</x:v>
      </x:c>
      <x:c r="D199" s="19" t="n">
        <x:f>Capacidade!F8</x:f>
        <x:v>14</x:v>
      </x:c>
      <x:c r="E199" s="20" t="n">
        <x:v>14</x:v>
      </x:c>
      <x:c r="F199" s="13" t="str">
        <x:f>IF(ISBLANK(E199),"PENDENTE",IF(D199=E199,"COINCIDE","DIVERGE"))</x:f>
        <x:v>COINCIDE</x:v>
      </x:c>
      <x:c r="G199" s="17"/>
      <x:c r="H199" s="1" t="str">
        <x:v>EXATA</x:v>
      </x:c>
      <x:c r="I199" s="1"/>
      <x:c r="J199" s="1"/>
      <x:c r="K199" s="1"/>
      <x:c r="L199" s="1"/>
      <x:c r="M199" s="1"/>
      <x:c r="N199" s="1"/>
    </x:row>
    <x:row r="200" ht="35" customHeight="1">
      <x:c r="A200" s="1" t="str">
        <x:v>capacidade</x:v>
      </x:c>
      <x:c r="B200" s="1" t="str">
        <x:v>2183|4</x:v>
      </x:c>
      <x:c r="C200" s="13" t="str">
        <x:v>motivo</x:v>
      </x:c>
      <x:c r="D200" s="15" t="str">
        <x:f>Capacidade!G8</x:f>
        <x:v>ADMISSIVEL</x:v>
      </x:c>
      <x:c r="E200" s="16" t="str">
        <x:v>ADMISSIVEL</x:v>
      </x:c>
      <x:c r="F200" s="13" t="str">
        <x:f>IF(ISBLANK(E200),"PENDENTE",IF(D200=E200,"COINCIDE","DIVERGE"))</x:f>
        <x:v>COINCIDE</x:v>
      </x:c>
      <x:c r="G200" s="17"/>
      <x:c r="H200" s="1" t="str">
        <x:v>EXATA</x:v>
      </x:c>
      <x:c r="I200" s="1"/>
      <x:c r="J200" s="1"/>
      <x:c r="K200" s="1"/>
      <x:c r="L200" s="1"/>
      <x:c r="M200" s="1"/>
      <x:c r="N200" s="1"/>
    </x:row>
    <x:row r="201" ht="35" customHeight="1">
      <x:c r="A201" s="1" t="str">
        <x:v>capacidade</x:v>
      </x:c>
      <x:c r="B201" s="1" t="str">
        <x:v>2183|5</x:v>
      </x:c>
      <x:c r="C201" s="13" t="str">
        <x:v>cmm_destino</x:v>
      </x:c>
      <x:c r="D201" s="15" t="n">
        <x:f>Capacidade!C9</x:f>
        <x:v>33.5</x:v>
      </x:c>
      <x:c r="E201" s="16" t="n">
        <x:v>33.5</x:v>
      </x:c>
      <x:c r="F201" s="13" t="str">
        <x:f>IF(ISBLANK(E201),"PENDENTE",IF(ABS(D201-E201)&lt;=Conferencia!$B$7,"COINCIDE","DIVERGE"))</x:f>
        <x:v>COINCIDE</x:v>
      </x:c>
      <x:c r="G201" s="17"/>
      <x:c r="H201" s="1" t="str">
        <x:v>TOLERÂNCIA</x:v>
      </x:c>
      <x:c r="I201" s="1"/>
      <x:c r="J201" s="1"/>
      <x:c r="K201" s="1"/>
      <x:c r="L201" s="1"/>
      <x:c r="M201" s="1"/>
      <x:c r="N201" s="1"/>
    </x:row>
    <x:row r="202" ht="35" customHeight="1">
      <x:c r="A202" s="1" t="str">
        <x:v>capacidade</x:v>
      </x:c>
      <x:c r="B202" s="1" t="str">
        <x:v>2183|5</x:v>
      </x:c>
      <x:c r="C202" s="13" t="str">
        <x:v>capacidade_livre</x:v>
      </x:c>
      <x:c r="D202" s="15" t="n">
        <x:f>Capacidade!D9</x:f>
        <x:v>141.81666666666666</x:v>
      </x:c>
      <x:c r="E202" s="16" t="n">
        <x:v>141.81666666666666</x:v>
      </x:c>
      <x:c r="F202" s="13" t="str">
        <x:f>IF(ISBLANK(E202),"PENDENTE",IF(ABS(D202-E202)&lt;=Conferencia!$B$7,"COINCIDE","DIVERGE"))</x:f>
        <x:v>COINCIDE</x:v>
      </x:c>
      <x:c r="G202" s="17"/>
      <x:c r="H202" s="1" t="str">
        <x:v>TOLERÂNCIA</x:v>
      </x:c>
      <x:c r="I202" s="1"/>
      <x:c r="J202" s="1"/>
      <x:c r="K202" s="1"/>
      <x:c r="L202" s="1"/>
      <x:c r="M202" s="1"/>
      <x:c r="N202" s="1"/>
    </x:row>
    <x:row r="203" ht="35" customHeight="1">
      <x:c r="A203" s="1" t="str">
        <x:v>capacidade</x:v>
      </x:c>
      <x:c r="B203" s="1" t="str">
        <x:v>2183|5</x:v>
      </x:c>
      <x:c r="C203" s="13" t="str">
        <x:v>capacidade_sem_novo_risco</x:v>
      </x:c>
      <x:c r="D203" s="15" t="n">
        <x:f>Capacidade!E9</x:f>
        <x:v>141.81666666666666</x:v>
      </x:c>
      <x:c r="E203" s="16" t="n">
        <x:v>141.81666666666666</x:v>
      </x:c>
      <x:c r="F203" s="13" t="str">
        <x:f>IF(ISBLANK(E203),"PENDENTE",IF(ABS(D203-E203)&lt;=Conferencia!$B$7,"COINCIDE","DIVERGE"))</x:f>
        <x:v>COINCIDE</x:v>
      </x:c>
      <x:c r="G203" s="17"/>
      <x:c r="H203" s="1" t="str">
        <x:v>TOLERÂNCIA</x:v>
      </x:c>
      <x:c r="I203" s="1"/>
      <x:c r="J203" s="1"/>
      <x:c r="K203" s="1"/>
      <x:c r="L203" s="1"/>
      <x:c r="M203" s="1"/>
      <x:c r="N203" s="1"/>
    </x:row>
    <x:row r="204" ht="35" customHeight="1">
      <x:c r="A204" s="1" t="str">
        <x:v>capacidade</x:v>
      </x:c>
      <x:c r="B204" s="1" t="str">
        <x:v>2183|5</x:v>
      </x:c>
      <x:c r="C204" s="13" t="str">
        <x:v>quantidade_admissivel</x:v>
      </x:c>
      <x:c r="D204" s="19" t="n">
        <x:f>Capacidade!F9</x:f>
        <x:v>14</x:v>
      </x:c>
      <x:c r="E204" s="20" t="n">
        <x:v>14</x:v>
      </x:c>
      <x:c r="F204" s="13" t="str">
        <x:f>IF(ISBLANK(E204),"PENDENTE",IF(D204=E204,"COINCIDE","DIVERGE"))</x:f>
        <x:v>COINCIDE</x:v>
      </x:c>
      <x:c r="G204" s="17"/>
      <x:c r="H204" s="1" t="str">
        <x:v>EXATA</x:v>
      </x:c>
      <x:c r="I204" s="1"/>
      <x:c r="J204" s="1"/>
      <x:c r="K204" s="1"/>
      <x:c r="L204" s="1"/>
      <x:c r="M204" s="1"/>
      <x:c r="N204" s="1"/>
    </x:row>
    <x:row r="205" ht="35" customHeight="1">
      <x:c r="A205" s="1" t="str">
        <x:v>capacidade</x:v>
      </x:c>
      <x:c r="B205" s="1" t="str">
        <x:v>2183|5</x:v>
      </x:c>
      <x:c r="C205" s="13" t="str">
        <x:v>motivo</x:v>
      </x:c>
      <x:c r="D205" s="15" t="str">
        <x:f>Capacidade!G9</x:f>
        <x:v>ADMISSIVEL</x:v>
      </x:c>
      <x:c r="E205" s="16" t="str">
        <x:v>ADMISSIVEL</x:v>
      </x:c>
      <x:c r="F205" s="13" t="str">
        <x:f>IF(ISBLANK(E205),"PENDENTE",IF(D205=E205,"COINCIDE","DIVERGE"))</x:f>
        <x:v>COINCIDE</x:v>
      </x:c>
      <x:c r="G205" s="17"/>
      <x:c r="H205" s="1" t="str">
        <x:v>EXATA</x:v>
      </x:c>
      <x:c r="I205" s="1"/>
      <x:c r="J205" s="1"/>
      <x:c r="K205" s="1"/>
      <x:c r="L205" s="1"/>
      <x:c r="M205" s="1"/>
      <x:c r="N205" s="1"/>
    </x:row>
    <x:row r="206" ht="35" customHeight="1">
      <x:c r="A206" s="1" t="str">
        <x:v>capacidade</x:v>
      </x:c>
      <x:c r="B206" s="1" t="str">
        <x:v>2183|6</x:v>
      </x:c>
      <x:c r="C206" s="13" t="str">
        <x:v>cmm_destino</x:v>
      </x:c>
      <x:c r="D206" s="15" t="n">
        <x:f>Capacidade!C10</x:f>
        <x:v>121</x:v>
      </x:c>
      <x:c r="E206" s="16" t="n">
        <x:v>121</x:v>
      </x:c>
      <x:c r="F206" s="13" t="str">
        <x:f>IF(ISBLANK(E206),"PENDENTE",IF(ABS(D206-E206)&lt;=Conferencia!$B$7,"COINCIDE","DIVERGE"))</x:f>
        <x:v>COINCIDE</x:v>
      </x:c>
      <x:c r="G206" s="17"/>
      <x:c r="H206" s="1" t="str">
        <x:v>TOLERÂNCIA</x:v>
      </x:c>
      <x:c r="I206" s="1"/>
      <x:c r="J206" s="1"/>
      <x:c r="K206" s="1"/>
      <x:c r="L206" s="1"/>
      <x:c r="M206" s="1"/>
      <x:c r="N206" s="1"/>
    </x:row>
    <x:row r="207" ht="35" customHeight="1">
      <x:c r="A207" s="1" t="str">
        <x:v>capacidade</x:v>
      </x:c>
      <x:c r="B207" s="1" t="str">
        <x:v>2183|6</x:v>
      </x:c>
      <x:c r="C207" s="13" t="str">
        <x:v>capacidade_livre</x:v>
      </x:c>
      <x:c r="D207" s="15" t="n">
        <x:f>Capacidade!D10</x:f>
        <x:v>512.2333333333333</x:v>
      </x:c>
      <x:c r="E207" s="16" t="n">
        <x:v>512.2333333333333</x:v>
      </x:c>
      <x:c r="F207" s="13" t="str">
        <x:f>IF(ISBLANK(E207),"PENDENTE",IF(ABS(D207-E207)&lt;=Conferencia!$B$7,"COINCIDE","DIVERGE"))</x:f>
        <x:v>COINCIDE</x:v>
      </x:c>
      <x:c r="G207" s="17"/>
      <x:c r="H207" s="1" t="str">
        <x:v>TOLERÂNCIA</x:v>
      </x:c>
      <x:c r="I207" s="1"/>
      <x:c r="J207" s="1"/>
      <x:c r="K207" s="1"/>
      <x:c r="L207" s="1"/>
      <x:c r="M207" s="1"/>
      <x:c r="N207" s="1"/>
    </x:row>
    <x:row r="208" ht="35" customHeight="1">
      <x:c r="A208" s="1" t="str">
        <x:v>capacidade</x:v>
      </x:c>
      <x:c r="B208" s="1" t="str">
        <x:v>2183|6</x:v>
      </x:c>
      <x:c r="C208" s="13" t="str">
        <x:v>capacidade_sem_novo_risco</x:v>
      </x:c>
      <x:c r="D208" s="15" t="n">
        <x:f>Capacidade!E10</x:f>
        <x:v>512.2333333333333</x:v>
      </x:c>
      <x:c r="E208" s="16" t="n">
        <x:v>512.2333333333333</x:v>
      </x:c>
      <x:c r="F208" s="13" t="str">
        <x:f>IF(ISBLANK(E208),"PENDENTE",IF(ABS(D208-E208)&lt;=Conferencia!$B$7,"COINCIDE","DIVERGE"))</x:f>
        <x:v>COINCIDE</x:v>
      </x:c>
      <x:c r="G208" s="17"/>
      <x:c r="H208" s="1" t="str">
        <x:v>TOLERÂNCIA</x:v>
      </x:c>
      <x:c r="I208" s="1"/>
      <x:c r="J208" s="1"/>
      <x:c r="K208" s="1"/>
      <x:c r="L208" s="1"/>
      <x:c r="M208" s="1"/>
      <x:c r="N208" s="1"/>
    </x:row>
    <x:row r="209" ht="35" customHeight="1">
      <x:c r="A209" s="1" t="str">
        <x:v>capacidade</x:v>
      </x:c>
      <x:c r="B209" s="1" t="str">
        <x:v>2183|6</x:v>
      </x:c>
      <x:c r="C209" s="13" t="str">
        <x:v>quantidade_admissivel</x:v>
      </x:c>
      <x:c r="D209" s="19" t="n">
        <x:f>Capacidade!F10</x:f>
        <x:v>14</x:v>
      </x:c>
      <x:c r="E209" s="20" t="n">
        <x:v>14</x:v>
      </x:c>
      <x:c r="F209" s="13" t="str">
        <x:f>IF(ISBLANK(E209),"PENDENTE",IF(D209=E209,"COINCIDE","DIVERGE"))</x:f>
        <x:v>COINCIDE</x:v>
      </x:c>
      <x:c r="G209" s="17"/>
      <x:c r="H209" s="1" t="str">
        <x:v>EXATA</x:v>
      </x:c>
      <x:c r="I209" s="1"/>
      <x:c r="J209" s="1"/>
      <x:c r="K209" s="1"/>
      <x:c r="L209" s="1"/>
      <x:c r="M209" s="1"/>
      <x:c r="N209" s="1"/>
    </x:row>
    <x:row r="210" ht="35" customHeight="1">
      <x:c r="A210" s="1" t="str">
        <x:v>capacidade</x:v>
      </x:c>
      <x:c r="B210" s="1" t="str">
        <x:v>2183|6</x:v>
      </x:c>
      <x:c r="C210" s="13" t="str">
        <x:v>motivo</x:v>
      </x:c>
      <x:c r="D210" s="15" t="str">
        <x:f>Capacidade!G10</x:f>
        <x:v>ADMISSIVEL</x:v>
      </x:c>
      <x:c r="E210" s="16" t="str">
        <x:v>ADMISSIVEL</x:v>
      </x:c>
      <x:c r="F210" s="13" t="str">
        <x:f>IF(ISBLANK(E210),"PENDENTE",IF(D210=E210,"COINCIDE","DIVERGE"))</x:f>
        <x:v>COINCIDE</x:v>
      </x:c>
      <x:c r="G210" s="17"/>
      <x:c r="H210" s="1" t="str">
        <x:v>EXATA</x:v>
      </x:c>
      <x:c r="I210" s="1"/>
      <x:c r="J210" s="1"/>
      <x:c r="K210" s="1"/>
      <x:c r="L210" s="1"/>
      <x:c r="M210" s="1"/>
      <x:c r="N210" s="1"/>
    </x:row>
    <x:row r="211" ht="35" customHeight="1">
      <x:c r="A211" s="1" t="str">
        <x:v>capacidade</x:v>
      </x:c>
      <x:c r="B211" s="1" t="str">
        <x:v>2183|7</x:v>
      </x:c>
      <x:c r="C211" s="13" t="str">
        <x:v>cmm_destino</x:v>
      </x:c>
      <x:c r="D211" s="15" t="n">
        <x:f>Capacidade!C11</x:f>
        <x:v>38.333333333333336</x:v>
      </x:c>
      <x:c r="E211" s="16" t="n">
        <x:v>38.333333333333336</x:v>
      </x:c>
      <x:c r="F211" s="13" t="str">
        <x:f>IF(ISBLANK(E211),"PENDENTE",IF(ABS(D211-E211)&lt;=Conferencia!$B$7,"COINCIDE","DIVERGE"))</x:f>
        <x:v>COINCIDE</x:v>
      </x:c>
      <x:c r="G211" s="17"/>
      <x:c r="H211" s="1" t="str">
        <x:v>TOLERÂNCIA</x:v>
      </x:c>
      <x:c r="I211" s="1"/>
      <x:c r="J211" s="1"/>
      <x:c r="K211" s="1"/>
      <x:c r="L211" s="1"/>
      <x:c r="M211" s="1"/>
      <x:c r="N211" s="1"/>
    </x:row>
    <x:row r="212" ht="35" customHeight="1">
      <x:c r="A212" s="1" t="str">
        <x:v>capacidade</x:v>
      </x:c>
      <x:c r="B212" s="1" t="str">
        <x:v>2183|7</x:v>
      </x:c>
      <x:c r="C212" s="13" t="str">
        <x:v>capacidade_livre</x:v>
      </x:c>
      <x:c r="D212" s="15" t="n">
        <x:f>Capacidade!D11</x:f>
        <x:v>162.2777777777778</x:v>
      </x:c>
      <x:c r="E212" s="16" t="n">
        <x:v>162.2777777777778</x:v>
      </x:c>
      <x:c r="F212" s="13" t="str">
        <x:f>IF(ISBLANK(E212),"PENDENTE",IF(ABS(D212-E212)&lt;=Conferencia!$B$7,"COINCIDE","DIVERGE"))</x:f>
        <x:v>COINCIDE</x:v>
      </x:c>
      <x:c r="G212" s="17"/>
      <x:c r="H212" s="1" t="str">
        <x:v>TOLERÂNCIA</x:v>
      </x:c>
      <x:c r="I212" s="1"/>
      <x:c r="J212" s="1"/>
      <x:c r="K212" s="1"/>
      <x:c r="L212" s="1"/>
      <x:c r="M212" s="1"/>
      <x:c r="N212" s="1"/>
    </x:row>
    <x:row r="213" ht="35" customHeight="1">
      <x:c r="A213" s="1" t="str">
        <x:v>capacidade</x:v>
      </x:c>
      <x:c r="B213" s="1" t="str">
        <x:v>2183|7</x:v>
      </x:c>
      <x:c r="C213" s="13" t="str">
        <x:v>capacidade_sem_novo_risco</x:v>
      </x:c>
      <x:c r="D213" s="15" t="n">
        <x:f>Capacidade!E11</x:f>
        <x:v>162.2777777777778</x:v>
      </x:c>
      <x:c r="E213" s="16" t="n">
        <x:v>162.2777777777778</x:v>
      </x:c>
      <x:c r="F213" s="13" t="str">
        <x:f>IF(ISBLANK(E213),"PENDENTE",IF(ABS(D213-E213)&lt;=Conferencia!$B$7,"COINCIDE","DIVERGE"))</x:f>
        <x:v>COINCIDE</x:v>
      </x:c>
      <x:c r="G213" s="17"/>
      <x:c r="H213" s="1" t="str">
        <x:v>TOLERÂNCIA</x:v>
      </x:c>
      <x:c r="I213" s="1"/>
      <x:c r="J213" s="1"/>
      <x:c r="K213" s="1"/>
      <x:c r="L213" s="1"/>
      <x:c r="M213" s="1"/>
      <x:c r="N213" s="1"/>
    </x:row>
    <x:row r="214" ht="35" customHeight="1">
      <x:c r="A214" s="1" t="str">
        <x:v>capacidade</x:v>
      </x:c>
      <x:c r="B214" s="1" t="str">
        <x:v>2183|7</x:v>
      </x:c>
      <x:c r="C214" s="13" t="str">
        <x:v>quantidade_admissivel</x:v>
      </x:c>
      <x:c r="D214" s="19" t="n">
        <x:f>Capacidade!F11</x:f>
        <x:v>14</x:v>
      </x:c>
      <x:c r="E214" s="20" t="n">
        <x:v>14</x:v>
      </x:c>
      <x:c r="F214" s="13" t="str">
        <x:f>IF(ISBLANK(E214),"PENDENTE",IF(D214=E214,"COINCIDE","DIVERGE"))</x:f>
        <x:v>COINCIDE</x:v>
      </x:c>
      <x:c r="G214" s="17"/>
      <x:c r="H214" s="1" t="str">
        <x:v>EXATA</x:v>
      </x:c>
      <x:c r="I214" s="1"/>
      <x:c r="J214" s="1"/>
      <x:c r="K214" s="1"/>
      <x:c r="L214" s="1"/>
      <x:c r="M214" s="1"/>
      <x:c r="N214" s="1"/>
    </x:row>
    <x:row r="215" ht="35" customHeight="1">
      <x:c r="A215" s="1" t="str">
        <x:v>capacidade</x:v>
      </x:c>
      <x:c r="B215" s="1" t="str">
        <x:v>2183|7</x:v>
      </x:c>
      <x:c r="C215" s="13" t="str">
        <x:v>motivo</x:v>
      </x:c>
      <x:c r="D215" s="15" t="str">
        <x:f>Capacidade!G11</x:f>
        <x:v>ADMISSIVEL</x:v>
      </x:c>
      <x:c r="E215" s="16" t="str">
        <x:v>ADMISSIVEL</x:v>
      </x:c>
      <x:c r="F215" s="13" t="str">
        <x:f>IF(ISBLANK(E215),"PENDENTE",IF(D215=E215,"COINCIDE","DIVERGE"))</x:f>
        <x:v>COINCIDE</x:v>
      </x:c>
      <x:c r="G215" s="17"/>
      <x:c r="H215" s="1" t="str">
        <x:v>EXATA</x:v>
      </x:c>
      <x:c r="I215" s="1"/>
      <x:c r="J215" s="1"/>
      <x:c r="K215" s="1"/>
      <x:c r="L215" s="1"/>
      <x:c r="M215" s="1"/>
      <x:c r="N215" s="1"/>
    </x:row>
    <x:row r="216" ht="35" customHeight="1">
      <x:c r="A216" s="1" t="str">
        <x:v>capacidade</x:v>
      </x:c>
      <x:c r="B216" s="1" t="str">
        <x:v>2183|8</x:v>
      </x:c>
      <x:c r="C216" s="13" t="str">
        <x:v>cmm_destino</x:v>
      </x:c>
      <x:c r="D216" s="15" t="n">
        <x:f>Capacidade!C12</x:f>
        <x:v>74.33333333333333</x:v>
      </x:c>
      <x:c r="E216" s="16" t="n">
        <x:v>74.33333333333333</x:v>
      </x:c>
      <x:c r="F216" s="13" t="str">
        <x:f>IF(ISBLANK(E216),"PENDENTE",IF(ABS(D216-E216)&lt;=Conferencia!$B$7,"COINCIDE","DIVERGE"))</x:f>
        <x:v>COINCIDE</x:v>
      </x:c>
      <x:c r="G216" s="17"/>
      <x:c r="H216" s="1" t="str">
        <x:v>TOLERÂNCIA</x:v>
      </x:c>
      <x:c r="I216" s="1"/>
      <x:c r="J216" s="1"/>
      <x:c r="K216" s="1"/>
      <x:c r="L216" s="1"/>
      <x:c r="M216" s="1"/>
      <x:c r="N216" s="1"/>
    </x:row>
    <x:row r="217" ht="35" customHeight="1">
      <x:c r="A217" s="1" t="str">
        <x:v>capacidade</x:v>
      </x:c>
      <x:c r="B217" s="1" t="str">
        <x:v>2183|8</x:v>
      </x:c>
      <x:c r="C217" s="13" t="str">
        <x:v>capacidade_livre</x:v>
      </x:c>
      <x:c r="D217" s="15" t="n">
        <x:f>Capacidade!D12</x:f>
        <x:v>314.67777777777775</x:v>
      </x:c>
      <x:c r="E217" s="16" t="n">
        <x:v>314.67777777777775</x:v>
      </x:c>
      <x:c r="F217" s="13" t="str">
        <x:f>IF(ISBLANK(E217),"PENDENTE",IF(ABS(D217-E217)&lt;=Conferencia!$B$7,"COINCIDE","DIVERGE"))</x:f>
        <x:v>COINCIDE</x:v>
      </x:c>
      <x:c r="G217" s="17"/>
      <x:c r="H217" s="1" t="str">
        <x:v>TOLERÂNCIA</x:v>
      </x:c>
      <x:c r="I217" s="1"/>
      <x:c r="J217" s="1"/>
      <x:c r="K217" s="1"/>
      <x:c r="L217" s="1"/>
      <x:c r="M217" s="1"/>
      <x:c r="N217" s="1"/>
    </x:row>
    <x:row r="218" ht="35" customHeight="1">
      <x:c r="A218" s="1" t="str">
        <x:v>capacidade</x:v>
      </x:c>
      <x:c r="B218" s="1" t="str">
        <x:v>2183|8</x:v>
      </x:c>
      <x:c r="C218" s="13" t="str">
        <x:v>capacidade_sem_novo_risco</x:v>
      </x:c>
      <x:c r="D218" s="15" t="n">
        <x:f>Capacidade!E12</x:f>
        <x:v>314.67777777777775</x:v>
      </x:c>
      <x:c r="E218" s="16" t="n">
        <x:v>314.67777777777775</x:v>
      </x:c>
      <x:c r="F218" s="13" t="str">
        <x:f>IF(ISBLANK(E218),"PENDENTE",IF(ABS(D218-E218)&lt;=Conferencia!$B$7,"COINCIDE","DIVERGE"))</x:f>
        <x:v>COINCIDE</x:v>
      </x:c>
      <x:c r="G218" s="17"/>
      <x:c r="H218" s="1" t="str">
        <x:v>TOLERÂNCIA</x:v>
      </x:c>
      <x:c r="I218" s="1"/>
      <x:c r="J218" s="1"/>
      <x:c r="K218" s="1"/>
      <x:c r="L218" s="1"/>
      <x:c r="M218" s="1"/>
      <x:c r="N218" s="1"/>
    </x:row>
    <x:row r="219" ht="35" customHeight="1">
      <x:c r="A219" s="1" t="str">
        <x:v>capacidade</x:v>
      </x:c>
      <x:c r="B219" s="1" t="str">
        <x:v>2183|8</x:v>
      </x:c>
      <x:c r="C219" s="13" t="str">
        <x:v>quantidade_admissivel</x:v>
      </x:c>
      <x:c r="D219" s="19" t="n">
        <x:f>Capacidade!F12</x:f>
        <x:v>14</x:v>
      </x:c>
      <x:c r="E219" s="20" t="n">
        <x:v>14</x:v>
      </x:c>
      <x:c r="F219" s="13" t="str">
        <x:f>IF(ISBLANK(E219),"PENDENTE",IF(D219=E219,"COINCIDE","DIVERGE"))</x:f>
        <x:v>COINCIDE</x:v>
      </x:c>
      <x:c r="G219" s="17"/>
      <x:c r="H219" s="1" t="str">
        <x:v>EXATA</x:v>
      </x:c>
      <x:c r="I219" s="1"/>
      <x:c r="J219" s="1"/>
      <x:c r="K219" s="1"/>
      <x:c r="L219" s="1"/>
      <x:c r="M219" s="1"/>
      <x:c r="N219" s="1"/>
    </x:row>
    <x:row r="220" ht="35" customHeight="1">
      <x:c r="A220" s="1" t="str">
        <x:v>capacidade</x:v>
      </x:c>
      <x:c r="B220" s="1" t="str">
        <x:v>2183|8</x:v>
      </x:c>
      <x:c r="C220" s="13" t="str">
        <x:v>motivo</x:v>
      </x:c>
      <x:c r="D220" s="15" t="str">
        <x:f>Capacidade!G12</x:f>
        <x:v>ADMISSIVEL</x:v>
      </x:c>
      <x:c r="E220" s="16" t="str">
        <x:v>ADMISSIVEL</x:v>
      </x:c>
      <x:c r="F220" s="13" t="str">
        <x:f>IF(ISBLANK(E220),"PENDENTE",IF(D220=E220,"COINCIDE","DIVERGE"))</x:f>
        <x:v>COINCIDE</x:v>
      </x:c>
      <x:c r="G220" s="17"/>
      <x:c r="H220" s="1" t="str">
        <x:v>EXATA</x:v>
      </x:c>
      <x:c r="I220" s="1"/>
      <x:c r="J220" s="1"/>
      <x:c r="K220" s="1"/>
      <x:c r="L220" s="1"/>
      <x:c r="M220" s="1"/>
      <x:c r="N220" s="1"/>
    </x:row>
    <x:row r="221" ht="35" customHeight="1">
      <x:c r="A221" s="1" t="str">
        <x:v>capacidade</x:v>
      </x:c>
      <x:c r="B221" s="1" t="str">
        <x:v>2183|9</x:v>
      </x:c>
      <x:c r="C221" s="13" t="str">
        <x:v>cmm_destino</x:v>
      </x:c>
      <x:c r="D221" s="15" t="n">
        <x:f>Capacidade!C13</x:f>
        <x:v>0</x:v>
      </x:c>
      <x:c r="E221" s="16" t="n">
        <x:v>0</x:v>
      </x:c>
      <x:c r="F221" s="13" t="str">
        <x:f>IF(ISBLANK(E221),"PENDENTE",IF(ABS(D221-E221)&lt;=Conferencia!$B$7,"COINCIDE","DIVERGE"))</x:f>
        <x:v>COINCIDE</x:v>
      </x:c>
      <x:c r="G221" s="17"/>
      <x:c r="H221" s="1" t="str">
        <x:v>TOLERÂNCIA</x:v>
      </x:c>
      <x:c r="I221" s="1"/>
      <x:c r="J221" s="1"/>
      <x:c r="K221" s="1"/>
      <x:c r="L221" s="1"/>
      <x:c r="M221" s="1"/>
      <x:c r="N221" s="1"/>
    </x:row>
    <x:row r="222" ht="35" customHeight="1">
      <x:c r="A222" s="1" t="str">
        <x:v>capacidade</x:v>
      </x:c>
      <x:c r="B222" s="1" t="str">
        <x:v>2183|9</x:v>
      </x:c>
      <x:c r="C222" s="13" t="str">
        <x:v>capacidade_livre</x:v>
      </x:c>
      <x:c r="D222" s="15" t="n">
        <x:f>Capacidade!D13</x:f>
        <x:v>0</x:v>
      </x:c>
      <x:c r="E222" s="16" t="n">
        <x:v>0</x:v>
      </x:c>
      <x:c r="F222" s="13" t="str">
        <x:f>IF(ISBLANK(E222),"PENDENTE",IF(ABS(D222-E222)&lt;=Conferencia!$B$7,"COINCIDE","DIVERGE"))</x:f>
        <x:v>COINCIDE</x:v>
      </x:c>
      <x:c r="G222" s="17"/>
      <x:c r="H222" s="1" t="str">
        <x:v>TOLERÂNCIA</x:v>
      </x:c>
      <x:c r="I222" s="1"/>
      <x:c r="J222" s="1"/>
      <x:c r="K222" s="1"/>
      <x:c r="L222" s="1"/>
      <x:c r="M222" s="1"/>
      <x:c r="N222" s="1"/>
    </x:row>
    <x:row r="223" ht="35" customHeight="1">
      <x:c r="A223" s="1" t="str">
        <x:v>capacidade</x:v>
      </x:c>
      <x:c r="B223" s="1" t="str">
        <x:v>2183|9</x:v>
      </x:c>
      <x:c r="C223" s="13" t="str">
        <x:v>capacidade_sem_novo_risco</x:v>
      </x:c>
      <x:c r="D223" s="15" t="n">
        <x:f>Capacidade!E13</x:f>
        <x:v>0</x:v>
      </x:c>
      <x:c r="E223" s="16" t="n">
        <x:v>0</x:v>
      </x:c>
      <x:c r="F223" s="13" t="str">
        <x:f>IF(ISBLANK(E223),"PENDENTE",IF(ABS(D223-E223)&lt;=Conferencia!$B$7,"COINCIDE","DIVERGE"))</x:f>
        <x:v>COINCIDE</x:v>
      </x:c>
      <x:c r="G223" s="17"/>
      <x:c r="H223" s="1" t="str">
        <x:v>TOLERÂNCIA</x:v>
      </x:c>
      <x:c r="I223" s="1"/>
      <x:c r="J223" s="1"/>
      <x:c r="K223" s="1"/>
      <x:c r="L223" s="1"/>
      <x:c r="M223" s="1"/>
      <x:c r="N223" s="1"/>
    </x:row>
    <x:row r="224" ht="35" customHeight="1">
      <x:c r="A224" s="1" t="str">
        <x:v>capacidade</x:v>
      </x:c>
      <x:c r="B224" s="1" t="str">
        <x:v>2183|9</x:v>
      </x:c>
      <x:c r="C224" s="13" t="str">
        <x:v>quantidade_admissivel</x:v>
      </x:c>
      <x:c r="D224" s="19" t="n">
        <x:f>Capacidade!F13</x:f>
        <x:v>0</x:v>
      </x:c>
      <x:c r="E224" s="20" t="n">
        <x:v>0</x:v>
      </x:c>
      <x:c r="F224" s="13" t="str">
        <x:f>IF(ISBLANK(E224),"PENDENTE",IF(D224=E224,"COINCIDE","DIVERGE"))</x:f>
        <x:v>COINCIDE</x:v>
      </x:c>
      <x:c r="G224" s="17"/>
      <x:c r="H224" s="1" t="str">
        <x:v>EXATA</x:v>
      </x:c>
      <x:c r="I224" s="1"/>
      <x:c r="J224" s="1"/>
      <x:c r="K224" s="1"/>
      <x:c r="L224" s="1"/>
      <x:c r="M224" s="1"/>
      <x:c r="N224" s="1"/>
    </x:row>
    <x:row r="225" ht="35" customHeight="1">
      <x:c r="A225" s="1" t="str">
        <x:v>capacidade</x:v>
      </x:c>
      <x:c r="B225" s="1" t="str">
        <x:v>2183|9</x:v>
      </x:c>
      <x:c r="C225" s="13" t="str">
        <x:v>motivo</x:v>
      </x:c>
      <x:c r="D225" s="15" t="str">
        <x:f>Capacidade!G13</x:f>
        <x:v>CMM_ZERO</x:v>
      </x:c>
      <x:c r="E225" s="16" t="str">
        <x:v>CMM_ZERO</x:v>
      </x:c>
      <x:c r="F225" s="13" t="str">
        <x:f>IF(ISBLANK(E225),"PENDENTE",IF(D225=E225,"COINCIDE","DIVERGE"))</x:f>
        <x:v>COINCIDE</x:v>
      </x:c>
      <x:c r="G225" s="17"/>
      <x:c r="H225" s="1" t="str">
        <x:v>EXATA</x:v>
      </x:c>
      <x:c r="I225" s="1"/>
      <x:c r="J225" s="1"/>
      <x:c r="K225" s="1"/>
      <x:c r="L225" s="1"/>
      <x:c r="M225" s="1"/>
      <x:c r="N225" s="1"/>
    </x:row>
    <x:row r="226" ht="35" customHeight="1">
      <x:c r="A226" s="1" t="str">
        <x:v>capacidade</x:v>
      </x:c>
      <x:c r="B226" s="1" t="str">
        <x:v>2183|10</x:v>
      </x:c>
      <x:c r="C226" s="13" t="str">
        <x:v>cmm_destino</x:v>
      </x:c>
      <x:c r="D226" s="15" t="n">
        <x:f>Capacidade!C14</x:f>
        <x:v>40</x:v>
      </x:c>
      <x:c r="E226" s="16" t="n">
        <x:v>40</x:v>
      </x:c>
      <x:c r="F226" s="13" t="str">
        <x:f>IF(ISBLANK(E226),"PENDENTE",IF(ABS(D226-E226)&lt;=Conferencia!$B$7,"COINCIDE","DIVERGE"))</x:f>
        <x:v>COINCIDE</x:v>
      </x:c>
      <x:c r="G226" s="17"/>
      <x:c r="H226" s="1" t="str">
        <x:v>TOLERÂNCIA</x:v>
      </x:c>
      <x:c r="I226" s="1"/>
      <x:c r="J226" s="1"/>
      <x:c r="K226" s="1"/>
      <x:c r="L226" s="1"/>
      <x:c r="M226" s="1"/>
      <x:c r="N226" s="1"/>
    </x:row>
    <x:row r="227" ht="35" customHeight="1">
      <x:c r="A227" s="1" t="str">
        <x:v>capacidade</x:v>
      </x:c>
      <x:c r="B227" s="1" t="str">
        <x:v>2183|10</x:v>
      </x:c>
      <x:c r="C227" s="13" t="str">
        <x:v>capacidade_livre</x:v>
      </x:c>
      <x:c r="D227" s="15" t="n">
        <x:f>Capacidade!D14</x:f>
        <x:v>169.33333333333334</x:v>
      </x:c>
      <x:c r="E227" s="16" t="n">
        <x:v>169.33333333333334</x:v>
      </x:c>
      <x:c r="F227" s="13" t="str">
        <x:f>IF(ISBLANK(E227),"PENDENTE",IF(ABS(D227-E227)&lt;=Conferencia!$B$7,"COINCIDE","DIVERGE"))</x:f>
        <x:v>COINCIDE</x:v>
      </x:c>
      <x:c r="G227" s="17"/>
      <x:c r="H227" s="1" t="str">
        <x:v>TOLERÂNCIA</x:v>
      </x:c>
      <x:c r="I227" s="1"/>
      <x:c r="J227" s="1"/>
      <x:c r="K227" s="1"/>
      <x:c r="L227" s="1"/>
      <x:c r="M227" s="1"/>
      <x:c r="N227" s="1"/>
    </x:row>
    <x:row r="228" ht="35" customHeight="1">
      <x:c r="A228" s="1" t="str">
        <x:v>capacidade</x:v>
      </x:c>
      <x:c r="B228" s="1" t="str">
        <x:v>2183|10</x:v>
      </x:c>
      <x:c r="C228" s="13" t="str">
        <x:v>capacidade_sem_novo_risco</x:v>
      </x:c>
      <x:c r="D228" s="15" t="n">
        <x:f>Capacidade!E14</x:f>
        <x:v>169.33333333333334</x:v>
      </x:c>
      <x:c r="E228" s="16" t="n">
        <x:v>169.33333333333334</x:v>
      </x:c>
      <x:c r="F228" s="13" t="str">
        <x:f>IF(ISBLANK(E228),"PENDENTE",IF(ABS(D228-E228)&lt;=Conferencia!$B$7,"COINCIDE","DIVERGE"))</x:f>
        <x:v>COINCIDE</x:v>
      </x:c>
      <x:c r="G228" s="17"/>
      <x:c r="H228" s="1" t="str">
        <x:v>TOLERÂNCIA</x:v>
      </x:c>
      <x:c r="I228" s="1"/>
      <x:c r="J228" s="1"/>
      <x:c r="K228" s="1"/>
      <x:c r="L228" s="1"/>
      <x:c r="M228" s="1"/>
      <x:c r="N228" s="1"/>
    </x:row>
    <x:row r="229" ht="35" customHeight="1">
      <x:c r="A229" s="1" t="str">
        <x:v>capacidade</x:v>
      </x:c>
      <x:c r="B229" s="1" t="str">
        <x:v>2183|10</x:v>
      </x:c>
      <x:c r="C229" s="13" t="str">
        <x:v>quantidade_admissivel</x:v>
      </x:c>
      <x:c r="D229" s="19" t="n">
        <x:f>Capacidade!F14</x:f>
        <x:v>14</x:v>
      </x:c>
      <x:c r="E229" s="20" t="n">
        <x:v>14</x:v>
      </x:c>
      <x:c r="F229" s="13" t="str">
        <x:f>IF(ISBLANK(E229),"PENDENTE",IF(D229=E229,"COINCIDE","DIVERGE"))</x:f>
        <x:v>COINCIDE</x:v>
      </x:c>
      <x:c r="G229" s="17"/>
      <x:c r="H229" s="1" t="str">
        <x:v>EXATA</x:v>
      </x:c>
      <x:c r="I229" s="1"/>
      <x:c r="J229" s="1"/>
      <x:c r="K229" s="1"/>
      <x:c r="L229" s="1"/>
      <x:c r="M229" s="1"/>
      <x:c r="N229" s="1"/>
    </x:row>
    <x:row r="230" ht="35" customHeight="1">
      <x:c r="A230" s="1" t="str">
        <x:v>capacidade</x:v>
      </x:c>
      <x:c r="B230" s="1" t="str">
        <x:v>2183|10</x:v>
      </x:c>
      <x:c r="C230" s="13" t="str">
        <x:v>motivo</x:v>
      </x:c>
      <x:c r="D230" s="15" t="str">
        <x:f>Capacidade!G14</x:f>
        <x:v>ADMISSIVEL</x:v>
      </x:c>
      <x:c r="E230" s="16" t="str">
        <x:v>ADMISSIVEL</x:v>
      </x:c>
      <x:c r="F230" s="13" t="str">
        <x:f>IF(ISBLANK(E230),"PENDENTE",IF(D230=E230,"COINCIDE","DIVERGE"))</x:f>
        <x:v>COINCIDE</x:v>
      </x:c>
      <x:c r="G230" s="17"/>
      <x:c r="H230" s="1" t="str">
        <x:v>EXATA</x:v>
      </x:c>
      <x:c r="I230" s="1"/>
      <x:c r="J230" s="1"/>
      <x:c r="K230" s="1"/>
      <x:c r="L230" s="1"/>
      <x:c r="M230" s="1"/>
      <x:c r="N230" s="1"/>
    </x:row>
    <x:row r="231" ht="35" customHeight="1">
      <x:c r="A231" s="1" t="str">
        <x:v>capacidade</x:v>
      </x:c>
      <x:c r="B231" s="1" t="str">
        <x:v>2183|12</x:v>
      </x:c>
      <x:c r="C231" s="13" t="str">
        <x:v>cmm_destino</x:v>
      </x:c>
      <x:c r="D231" s="15" t="n">
        <x:f>Capacidade!C15</x:f>
        <x:v>39.833333333333336</x:v>
      </x:c>
      <x:c r="E231" s="16" t="n">
        <x:v>39.833333333333336</x:v>
      </x:c>
      <x:c r="F231" s="13" t="str">
        <x:f>IF(ISBLANK(E231),"PENDENTE",IF(ABS(D231-E231)&lt;=Conferencia!$B$7,"COINCIDE","DIVERGE"))</x:f>
        <x:v>COINCIDE</x:v>
      </x:c>
      <x:c r="G231" s="17"/>
      <x:c r="H231" s="1" t="str">
        <x:v>TOLERÂNCIA</x:v>
      </x:c>
      <x:c r="I231" s="1"/>
      <x:c r="J231" s="1"/>
      <x:c r="K231" s="1"/>
      <x:c r="L231" s="1"/>
      <x:c r="M231" s="1"/>
      <x:c r="N231" s="1"/>
    </x:row>
    <x:row r="232" ht="35" customHeight="1">
      <x:c r="A232" s="1" t="str">
        <x:v>capacidade</x:v>
      </x:c>
      <x:c r="B232" s="1" t="str">
        <x:v>2183|12</x:v>
      </x:c>
      <x:c r="C232" s="13" t="str">
        <x:v>capacidade_livre</x:v>
      </x:c>
      <x:c r="D232" s="15" t="n">
        <x:f>Capacidade!D15</x:f>
        <x:v>168.6277777777778</x:v>
      </x:c>
      <x:c r="E232" s="16" t="n">
        <x:v>168.6277777777778</x:v>
      </x:c>
      <x:c r="F232" s="13" t="str">
        <x:f>IF(ISBLANK(E232),"PENDENTE",IF(ABS(D232-E232)&lt;=Conferencia!$B$7,"COINCIDE","DIVERGE"))</x:f>
        <x:v>COINCIDE</x:v>
      </x:c>
      <x:c r="G232" s="17"/>
      <x:c r="H232" s="1" t="str">
        <x:v>TOLERÂNCIA</x:v>
      </x:c>
      <x:c r="I232" s="1"/>
      <x:c r="J232" s="1"/>
      <x:c r="K232" s="1"/>
      <x:c r="L232" s="1"/>
      <x:c r="M232" s="1"/>
      <x:c r="N232" s="1"/>
    </x:row>
    <x:row r="233" ht="35" customHeight="1">
      <x:c r="A233" s="1" t="str">
        <x:v>capacidade</x:v>
      </x:c>
      <x:c r="B233" s="1" t="str">
        <x:v>2183|12</x:v>
      </x:c>
      <x:c r="C233" s="13" t="str">
        <x:v>capacidade_sem_novo_risco</x:v>
      </x:c>
      <x:c r="D233" s="15" t="n">
        <x:f>Capacidade!E15</x:f>
        <x:v>168.6277777777778</x:v>
      </x:c>
      <x:c r="E233" s="16" t="n">
        <x:v>168.6277777777778</x:v>
      </x:c>
      <x:c r="F233" s="13" t="str">
        <x:f>IF(ISBLANK(E233),"PENDENTE",IF(ABS(D233-E233)&lt;=Conferencia!$B$7,"COINCIDE","DIVERGE"))</x:f>
        <x:v>COINCIDE</x:v>
      </x:c>
      <x:c r="G233" s="17"/>
      <x:c r="H233" s="1" t="str">
        <x:v>TOLERÂNCIA</x:v>
      </x:c>
      <x:c r="I233" s="1"/>
      <x:c r="J233" s="1"/>
      <x:c r="K233" s="1"/>
      <x:c r="L233" s="1"/>
      <x:c r="M233" s="1"/>
      <x:c r="N233" s="1"/>
    </x:row>
    <x:row r="234" ht="35" customHeight="1">
      <x:c r="A234" s="1" t="str">
        <x:v>capacidade</x:v>
      </x:c>
      <x:c r="B234" s="1" t="str">
        <x:v>2183|12</x:v>
      </x:c>
      <x:c r="C234" s="13" t="str">
        <x:v>quantidade_admissivel</x:v>
      </x:c>
      <x:c r="D234" s="19" t="n">
        <x:f>Capacidade!F15</x:f>
        <x:v>14</x:v>
      </x:c>
      <x:c r="E234" s="20" t="n">
        <x:v>14</x:v>
      </x:c>
      <x:c r="F234" s="13" t="str">
        <x:f>IF(ISBLANK(E234),"PENDENTE",IF(D234=E234,"COINCIDE","DIVERGE"))</x:f>
        <x:v>COINCIDE</x:v>
      </x:c>
      <x:c r="G234" s="17"/>
      <x:c r="H234" s="1" t="str">
        <x:v>EXATA</x:v>
      </x:c>
      <x:c r="I234" s="1"/>
      <x:c r="J234" s="1"/>
      <x:c r="K234" s="1"/>
      <x:c r="L234" s="1"/>
      <x:c r="M234" s="1"/>
      <x:c r="N234" s="1"/>
    </x:row>
    <x:row r="235" ht="35" customHeight="1">
      <x:c r="A235" s="1" t="str">
        <x:v>capacidade</x:v>
      </x:c>
      <x:c r="B235" s="1" t="str">
        <x:v>2183|12</x:v>
      </x:c>
      <x:c r="C235" s="13" t="str">
        <x:v>motivo</x:v>
      </x:c>
      <x:c r="D235" s="15" t="str">
        <x:f>Capacidade!G15</x:f>
        <x:v>ADMISSIVEL</x:v>
      </x:c>
      <x:c r="E235" s="16" t="str">
        <x:v>ADMISSIVEL</x:v>
      </x:c>
      <x:c r="F235" s="13" t="str">
        <x:f>IF(ISBLANK(E235),"PENDENTE",IF(D235=E235,"COINCIDE","DIVERGE"))</x:f>
        <x:v>COINCIDE</x:v>
      </x:c>
      <x:c r="G235" s="17"/>
      <x:c r="H235" s="1" t="str">
        <x:v>EXATA</x:v>
      </x:c>
      <x:c r="I235" s="1"/>
      <x:c r="J235" s="1"/>
      <x:c r="K235" s="1"/>
      <x:c r="L235" s="1"/>
      <x:c r="M235" s="1"/>
      <x:c r="N235" s="1"/>
    </x:row>
    <x:row r="236" ht="35" customHeight="1">
      <x:c r="A236" s="1" t="str">
        <x:v>capacidade</x:v>
      </x:c>
      <x:c r="B236" s="1" t="str">
        <x:v>2183|13</x:v>
      </x:c>
      <x:c r="C236" s="13" t="str">
        <x:v>cmm_destino</x:v>
      </x:c>
      <x:c r="D236" s="15" t="n">
        <x:f>Capacidade!C16</x:f>
        <x:v>22.5</x:v>
      </x:c>
      <x:c r="E236" s="16" t="n">
        <x:v>22.5</x:v>
      </x:c>
      <x:c r="F236" s="13" t="str">
        <x:f>IF(ISBLANK(E236),"PENDENTE",IF(ABS(D236-E236)&lt;=Conferencia!$B$7,"COINCIDE","DIVERGE"))</x:f>
        <x:v>COINCIDE</x:v>
      </x:c>
      <x:c r="G236" s="17"/>
      <x:c r="H236" s="1" t="str">
        <x:v>TOLERÂNCIA</x:v>
      </x:c>
      <x:c r="I236" s="1"/>
      <x:c r="J236" s="1"/>
      <x:c r="K236" s="1"/>
      <x:c r="L236" s="1"/>
      <x:c r="M236" s="1"/>
      <x:c r="N236" s="1"/>
    </x:row>
    <x:row r="237" ht="35" customHeight="1">
      <x:c r="A237" s="1" t="str">
        <x:v>capacidade</x:v>
      </x:c>
      <x:c r="B237" s="1" t="str">
        <x:v>2183|13</x:v>
      </x:c>
      <x:c r="C237" s="13" t="str">
        <x:v>capacidade_livre</x:v>
      </x:c>
      <x:c r="D237" s="15" t="n">
        <x:f>Capacidade!D16</x:f>
        <x:v>95.25</x:v>
      </x:c>
      <x:c r="E237" s="16" t="n">
        <x:v>95.25</x:v>
      </x:c>
      <x:c r="F237" s="13" t="str">
        <x:f>IF(ISBLANK(E237),"PENDENTE",IF(ABS(D237-E237)&lt;=Conferencia!$B$7,"COINCIDE","DIVERGE"))</x:f>
        <x:v>COINCIDE</x:v>
      </x:c>
      <x:c r="G237" s="17"/>
      <x:c r="H237" s="1" t="str">
        <x:v>TOLERÂNCIA</x:v>
      </x:c>
      <x:c r="I237" s="1"/>
      <x:c r="J237" s="1"/>
      <x:c r="K237" s="1"/>
      <x:c r="L237" s="1"/>
      <x:c r="M237" s="1"/>
      <x:c r="N237" s="1"/>
    </x:row>
    <x:row r="238" ht="35" customHeight="1">
      <x:c r="A238" s="1" t="str">
        <x:v>capacidade</x:v>
      </x:c>
      <x:c r="B238" s="1" t="str">
        <x:v>2183|13</x:v>
      </x:c>
      <x:c r="C238" s="13" t="str">
        <x:v>capacidade_sem_novo_risco</x:v>
      </x:c>
      <x:c r="D238" s="15" t="n">
        <x:f>Capacidade!E16</x:f>
        <x:v>95.25</x:v>
      </x:c>
      <x:c r="E238" s="16" t="n">
        <x:v>95.25</x:v>
      </x:c>
      <x:c r="F238" s="13" t="str">
        <x:f>IF(ISBLANK(E238),"PENDENTE",IF(ABS(D238-E238)&lt;=Conferencia!$B$7,"COINCIDE","DIVERGE"))</x:f>
        <x:v>COINCIDE</x:v>
      </x:c>
      <x:c r="G238" s="17"/>
      <x:c r="H238" s="1" t="str">
        <x:v>TOLERÂNCIA</x:v>
      </x:c>
      <x:c r="I238" s="1"/>
      <x:c r="J238" s="1"/>
      <x:c r="K238" s="1"/>
      <x:c r="L238" s="1"/>
      <x:c r="M238" s="1"/>
      <x:c r="N238" s="1"/>
    </x:row>
    <x:row r="239" ht="35" customHeight="1">
      <x:c r="A239" s="1" t="str">
        <x:v>capacidade</x:v>
      </x:c>
      <x:c r="B239" s="1" t="str">
        <x:v>2183|13</x:v>
      </x:c>
      <x:c r="C239" s="13" t="str">
        <x:v>quantidade_admissivel</x:v>
      </x:c>
      <x:c r="D239" s="19" t="n">
        <x:f>Capacidade!F16</x:f>
        <x:v>14</x:v>
      </x:c>
      <x:c r="E239" s="20" t="n">
        <x:v>14</x:v>
      </x:c>
      <x:c r="F239" s="13" t="str">
        <x:f>IF(ISBLANK(E239),"PENDENTE",IF(D239=E239,"COINCIDE","DIVERGE"))</x:f>
        <x:v>COINCIDE</x:v>
      </x:c>
      <x:c r="G239" s="17"/>
      <x:c r="H239" s="1" t="str">
        <x:v>EXATA</x:v>
      </x:c>
      <x:c r="I239" s="1"/>
      <x:c r="J239" s="1"/>
      <x:c r="K239" s="1"/>
      <x:c r="L239" s="1"/>
      <x:c r="M239" s="1"/>
      <x:c r="N239" s="1"/>
    </x:row>
    <x:row r="240" ht="35" customHeight="1">
      <x:c r="A240" s="1" t="str">
        <x:v>capacidade</x:v>
      </x:c>
      <x:c r="B240" s="1" t="str">
        <x:v>2183|13</x:v>
      </x:c>
      <x:c r="C240" s="13" t="str">
        <x:v>motivo</x:v>
      </x:c>
      <x:c r="D240" s="15" t="str">
        <x:f>Capacidade!G16</x:f>
        <x:v>ADMISSIVEL</x:v>
      </x:c>
      <x:c r="E240" s="16" t="str">
        <x:v>ADMISSIVEL</x:v>
      </x:c>
      <x:c r="F240" s="13" t="str">
        <x:f>IF(ISBLANK(E240),"PENDENTE",IF(D240=E240,"COINCIDE","DIVERGE"))</x:f>
        <x:v>COINCIDE</x:v>
      </x:c>
      <x:c r="G240" s="17"/>
      <x:c r="H240" s="1" t="str">
        <x:v>EXATA</x:v>
      </x:c>
      <x:c r="I240" s="1"/>
      <x:c r="J240" s="1"/>
      <x:c r="K240" s="1"/>
      <x:c r="L240" s="1"/>
      <x:c r="M240" s="1"/>
      <x:c r="N240" s="1"/>
    </x:row>
    <x:row r="241" ht="35" customHeight="1">
      <x:c r="A241" s="1" t="str">
        <x:v>capacidade</x:v>
      </x:c>
      <x:c r="B241" s="1" t="str">
        <x:v>2183|14</x:v>
      </x:c>
      <x:c r="C241" s="13" t="str">
        <x:v>cmm_destino</x:v>
      </x:c>
      <x:c r="D241" s="15" t="n">
        <x:f>Capacidade!C17</x:f>
        <x:v>0</x:v>
      </x:c>
      <x:c r="E241" s="16" t="n">
        <x:v>0</x:v>
      </x:c>
      <x:c r="F241" s="13" t="str">
        <x:f>IF(ISBLANK(E241),"PENDENTE",IF(ABS(D241-E241)&lt;=Conferencia!$B$7,"COINCIDE","DIVERGE"))</x:f>
        <x:v>COINCIDE</x:v>
      </x:c>
      <x:c r="G241" s="17"/>
      <x:c r="H241" s="1" t="str">
        <x:v>TOLERÂNCIA</x:v>
      </x:c>
      <x:c r="I241" s="1"/>
      <x:c r="J241" s="1"/>
      <x:c r="K241" s="1"/>
      <x:c r="L241" s="1"/>
      <x:c r="M241" s="1"/>
      <x:c r="N241" s="1"/>
    </x:row>
    <x:row r="242" ht="35" customHeight="1">
      <x:c r="A242" s="1" t="str">
        <x:v>capacidade</x:v>
      </x:c>
      <x:c r="B242" s="1" t="str">
        <x:v>2183|14</x:v>
      </x:c>
      <x:c r="C242" s="13" t="str">
        <x:v>capacidade_livre</x:v>
      </x:c>
      <x:c r="D242" s="15" t="n">
        <x:f>Capacidade!D17</x:f>
        <x:v>0</x:v>
      </x:c>
      <x:c r="E242" s="16" t="n">
        <x:v>0</x:v>
      </x:c>
      <x:c r="F242" s="13" t="str">
        <x:f>IF(ISBLANK(E242),"PENDENTE",IF(ABS(D242-E242)&lt;=Conferencia!$B$7,"COINCIDE","DIVERGE"))</x:f>
        <x:v>COINCIDE</x:v>
      </x:c>
      <x:c r="G242" s="17"/>
      <x:c r="H242" s="1" t="str">
        <x:v>TOLERÂNCIA</x:v>
      </x:c>
      <x:c r="I242" s="1"/>
      <x:c r="J242" s="1"/>
      <x:c r="K242" s="1"/>
      <x:c r="L242" s="1"/>
      <x:c r="M242" s="1"/>
      <x:c r="N242" s="1"/>
    </x:row>
    <x:row r="243" ht="35" customHeight="1">
      <x:c r="A243" s="1" t="str">
        <x:v>capacidade</x:v>
      </x:c>
      <x:c r="B243" s="1" t="str">
        <x:v>2183|14</x:v>
      </x:c>
      <x:c r="C243" s="13" t="str">
        <x:v>capacidade_sem_novo_risco</x:v>
      </x:c>
      <x:c r="D243" s="15" t="n">
        <x:f>Capacidade!E17</x:f>
        <x:v>0</x:v>
      </x:c>
      <x:c r="E243" s="16" t="n">
        <x:v>0</x:v>
      </x:c>
      <x:c r="F243" s="13" t="str">
        <x:f>IF(ISBLANK(E243),"PENDENTE",IF(ABS(D243-E243)&lt;=Conferencia!$B$7,"COINCIDE","DIVERGE"))</x:f>
        <x:v>COINCIDE</x:v>
      </x:c>
      <x:c r="G243" s="17"/>
      <x:c r="H243" s="1" t="str">
        <x:v>TOLERÂNCIA</x:v>
      </x:c>
      <x:c r="I243" s="1"/>
      <x:c r="J243" s="1"/>
      <x:c r="K243" s="1"/>
      <x:c r="L243" s="1"/>
      <x:c r="M243" s="1"/>
      <x:c r="N243" s="1"/>
    </x:row>
    <x:row r="244" ht="35" customHeight="1">
      <x:c r="A244" s="1" t="str">
        <x:v>capacidade</x:v>
      </x:c>
      <x:c r="B244" s="1" t="str">
        <x:v>2183|14</x:v>
      </x:c>
      <x:c r="C244" s="13" t="str">
        <x:v>quantidade_admissivel</x:v>
      </x:c>
      <x:c r="D244" s="19" t="n">
        <x:f>Capacidade!F17</x:f>
        <x:v>0</x:v>
      </x:c>
      <x:c r="E244" s="20" t="n">
        <x:v>0</x:v>
      </x:c>
      <x:c r="F244" s="13" t="str">
        <x:f>IF(ISBLANK(E244),"PENDENTE",IF(D244=E244,"COINCIDE","DIVERGE"))</x:f>
        <x:v>COINCIDE</x:v>
      </x:c>
      <x:c r="G244" s="17"/>
      <x:c r="H244" s="1" t="str">
        <x:v>EXATA</x:v>
      </x:c>
      <x:c r="I244" s="1"/>
      <x:c r="J244" s="1"/>
      <x:c r="K244" s="1"/>
      <x:c r="L244" s="1"/>
      <x:c r="M244" s="1"/>
      <x:c r="N244" s="1"/>
    </x:row>
    <x:row r="245" ht="35" customHeight="1">
      <x:c r="A245" s="1" t="str">
        <x:v>capacidade</x:v>
      </x:c>
      <x:c r="B245" s="1" t="str">
        <x:v>2183|14</x:v>
      </x:c>
      <x:c r="C245" s="13" t="str">
        <x:v>motivo</x:v>
      </x:c>
      <x:c r="D245" s="15" t="str">
        <x:f>Capacidade!G17</x:f>
        <x:v>CMM_ZERO</x:v>
      </x:c>
      <x:c r="E245" s="16" t="str">
        <x:v>CMM_ZERO</x:v>
      </x:c>
      <x:c r="F245" s="13" t="str">
        <x:f>IF(ISBLANK(E245),"PENDENTE",IF(D245=E245,"COINCIDE","DIVERGE"))</x:f>
        <x:v>COINCIDE</x:v>
      </x:c>
      <x:c r="G245" s="17"/>
      <x:c r="H245" s="1" t="str">
        <x:v>EXATA</x:v>
      </x:c>
      <x:c r="I245" s="1"/>
      <x:c r="J245" s="1"/>
      <x:c r="K245" s="1"/>
      <x:c r="L245" s="1"/>
      <x:c r="M245" s="1"/>
      <x:c r="N245" s="1"/>
    </x:row>
    <x:row r="246" ht="35" customHeight="1">
      <x:c r="A246" s="1" t="str">
        <x:v>capacidade</x:v>
      </x:c>
      <x:c r="B246" s="1" t="str">
        <x:v>2183|15</x:v>
      </x:c>
      <x:c r="C246" s="13" t="str">
        <x:v>cmm_destino</x:v>
      </x:c>
      <x:c r="D246" s="15" t="n">
        <x:f>Capacidade!C18</x:f>
        <x:v>42</x:v>
      </x:c>
      <x:c r="E246" s="16" t="n">
        <x:v>42</x:v>
      </x:c>
      <x:c r="F246" s="13" t="str">
        <x:f>IF(ISBLANK(E246),"PENDENTE",IF(ABS(D246-E246)&lt;=Conferencia!$B$7,"COINCIDE","DIVERGE"))</x:f>
        <x:v>COINCIDE</x:v>
      </x:c>
      <x:c r="G246" s="17"/>
      <x:c r="H246" s="1" t="str">
        <x:v>TOLERÂNCIA</x:v>
      </x:c>
      <x:c r="I246" s="1"/>
      <x:c r="J246" s="1"/>
      <x:c r="K246" s="1"/>
      <x:c r="L246" s="1"/>
      <x:c r="M246" s="1"/>
      <x:c r="N246" s="1"/>
    </x:row>
    <x:row r="247" ht="35" customHeight="1">
      <x:c r="A247" s="1" t="str">
        <x:v>capacidade</x:v>
      </x:c>
      <x:c r="B247" s="1" t="str">
        <x:v>2183|15</x:v>
      </x:c>
      <x:c r="C247" s="13" t="str">
        <x:v>capacidade_livre</x:v>
      </x:c>
      <x:c r="D247" s="15" t="n">
        <x:f>Capacidade!D18</x:f>
        <x:v>177.8</x:v>
      </x:c>
      <x:c r="E247" s="16" t="n">
        <x:v>177.8</x:v>
      </x:c>
      <x:c r="F247" s="13" t="str">
        <x:f>IF(ISBLANK(E247),"PENDENTE",IF(ABS(D247-E247)&lt;=Conferencia!$B$7,"COINCIDE","DIVERGE"))</x:f>
        <x:v>COINCIDE</x:v>
      </x:c>
      <x:c r="G247" s="17"/>
      <x:c r="H247" s="1" t="str">
        <x:v>TOLERÂNCIA</x:v>
      </x:c>
      <x:c r="I247" s="1"/>
      <x:c r="J247" s="1"/>
      <x:c r="K247" s="1"/>
      <x:c r="L247" s="1"/>
      <x:c r="M247" s="1"/>
      <x:c r="N247" s="1"/>
    </x:row>
    <x:row r="248" ht="35" customHeight="1">
      <x:c r="A248" s="1" t="str">
        <x:v>capacidade</x:v>
      </x:c>
      <x:c r="B248" s="1" t="str">
        <x:v>2183|15</x:v>
      </x:c>
      <x:c r="C248" s="13" t="str">
        <x:v>capacidade_sem_novo_risco</x:v>
      </x:c>
      <x:c r="D248" s="15" t="n">
        <x:f>Capacidade!E18</x:f>
        <x:v>177.8</x:v>
      </x:c>
      <x:c r="E248" s="16" t="n">
        <x:v>177.8</x:v>
      </x:c>
      <x:c r="F248" s="13" t="str">
        <x:f>IF(ISBLANK(E248),"PENDENTE",IF(ABS(D248-E248)&lt;=Conferencia!$B$7,"COINCIDE","DIVERGE"))</x:f>
        <x:v>COINCIDE</x:v>
      </x:c>
      <x:c r="G248" s="17"/>
      <x:c r="H248" s="1" t="str">
        <x:v>TOLERÂNCIA</x:v>
      </x:c>
      <x:c r="I248" s="1"/>
      <x:c r="J248" s="1"/>
      <x:c r="K248" s="1"/>
      <x:c r="L248" s="1"/>
      <x:c r="M248" s="1"/>
      <x:c r="N248" s="1"/>
    </x:row>
    <x:row r="249" ht="35" customHeight="1">
      <x:c r="A249" s="1" t="str">
        <x:v>capacidade</x:v>
      </x:c>
      <x:c r="B249" s="1" t="str">
        <x:v>2183|15</x:v>
      </x:c>
      <x:c r="C249" s="13" t="str">
        <x:v>quantidade_admissivel</x:v>
      </x:c>
      <x:c r="D249" s="19" t="n">
        <x:f>Capacidade!F18</x:f>
        <x:v>14</x:v>
      </x:c>
      <x:c r="E249" s="20" t="n">
        <x:v>14</x:v>
      </x:c>
      <x:c r="F249" s="13" t="str">
        <x:f>IF(ISBLANK(E249),"PENDENTE",IF(D249=E249,"COINCIDE","DIVERGE"))</x:f>
        <x:v>COINCIDE</x:v>
      </x:c>
      <x:c r="G249" s="17"/>
      <x:c r="H249" s="1" t="str">
        <x:v>EXATA</x:v>
      </x:c>
      <x:c r="I249" s="1"/>
      <x:c r="J249" s="1"/>
      <x:c r="K249" s="1"/>
      <x:c r="L249" s="1"/>
      <x:c r="M249" s="1"/>
      <x:c r="N249" s="1"/>
    </x:row>
    <x:row r="250" ht="35" customHeight="1">
      <x:c r="A250" s="1" t="str">
        <x:v>capacidade</x:v>
      </x:c>
      <x:c r="B250" s="1" t="str">
        <x:v>2183|15</x:v>
      </x:c>
      <x:c r="C250" s="13" t="str">
        <x:v>motivo</x:v>
      </x:c>
      <x:c r="D250" s="15" t="str">
        <x:f>Capacidade!G18</x:f>
        <x:v>ADMISSIVEL</x:v>
      </x:c>
      <x:c r="E250" s="16" t="str">
        <x:v>ADMISSIVEL</x:v>
      </x:c>
      <x:c r="F250" s="13" t="str">
        <x:f>IF(ISBLANK(E250),"PENDENTE",IF(D250=E250,"COINCIDE","DIVERGE"))</x:f>
        <x:v>COINCIDE</x:v>
      </x:c>
      <x:c r="G250" s="17"/>
      <x:c r="H250" s="1" t="str">
        <x:v>EXATA</x:v>
      </x:c>
      <x:c r="I250" s="1"/>
      <x:c r="J250" s="1"/>
      <x:c r="K250" s="1"/>
      <x:c r="L250" s="1"/>
      <x:c r="M250" s="1"/>
      <x:c r="N250" s="1"/>
    </x:row>
    <x:row r="251" ht="35" customHeight="1">
      <x:c r="A251" s="1" t="str">
        <x:v>capacidade</x:v>
      </x:c>
      <x:c r="B251" s="1" t="str">
        <x:v>2183|16</x:v>
      </x:c>
      <x:c r="C251" s="13" t="str">
        <x:v>cmm_destino</x:v>
      </x:c>
      <x:c r="D251" s="15" t="n">
        <x:f>Capacidade!C19</x:f>
        <x:v>50.833333333333336</x:v>
      </x:c>
      <x:c r="E251" s="16" t="n">
        <x:v>50.833333333333336</x:v>
      </x:c>
      <x:c r="F251" s="13" t="str">
        <x:f>IF(ISBLANK(E251),"PENDENTE",IF(ABS(D251-E251)&lt;=Conferencia!$B$7,"COINCIDE","DIVERGE"))</x:f>
        <x:v>COINCIDE</x:v>
      </x:c>
      <x:c r="G251" s="17"/>
      <x:c r="H251" s="1" t="str">
        <x:v>TOLERÂNCIA</x:v>
      </x:c>
      <x:c r="I251" s="1"/>
      <x:c r="J251" s="1"/>
      <x:c r="K251" s="1"/>
      <x:c r="L251" s="1"/>
      <x:c r="M251" s="1"/>
      <x:c r="N251" s="1"/>
    </x:row>
    <x:row r="252" ht="35" customHeight="1">
      <x:c r="A252" s="1" t="str">
        <x:v>capacidade</x:v>
      </x:c>
      <x:c r="B252" s="1" t="str">
        <x:v>2183|16</x:v>
      </x:c>
      <x:c r="C252" s="13" t="str">
        <x:v>capacidade_livre</x:v>
      </x:c>
      <x:c r="D252" s="15" t="n">
        <x:f>Capacidade!D19</x:f>
        <x:v>215.19444444444446</x:v>
      </x:c>
      <x:c r="E252" s="16" t="n">
        <x:v>215.19444444444446</x:v>
      </x:c>
      <x:c r="F252" s="13" t="str">
        <x:f>IF(ISBLANK(E252),"PENDENTE",IF(ABS(D252-E252)&lt;=Conferencia!$B$7,"COINCIDE","DIVERGE"))</x:f>
        <x:v>COINCIDE</x:v>
      </x:c>
      <x:c r="G252" s="17"/>
      <x:c r="H252" s="1" t="str">
        <x:v>TOLERÂNCIA</x:v>
      </x:c>
      <x:c r="I252" s="1"/>
      <x:c r="J252" s="1"/>
      <x:c r="K252" s="1"/>
      <x:c r="L252" s="1"/>
      <x:c r="M252" s="1"/>
      <x:c r="N252" s="1"/>
    </x:row>
    <x:row r="253" ht="35" customHeight="1">
      <x:c r="A253" s="1" t="str">
        <x:v>capacidade</x:v>
      </x:c>
      <x:c r="B253" s="1" t="str">
        <x:v>2183|16</x:v>
      </x:c>
      <x:c r="C253" s="13" t="str">
        <x:v>capacidade_sem_novo_risco</x:v>
      </x:c>
      <x:c r="D253" s="15" t="n">
        <x:f>Capacidade!E19</x:f>
        <x:v>215.19444444444446</x:v>
      </x:c>
      <x:c r="E253" s="16" t="n">
        <x:v>215.19444444444446</x:v>
      </x:c>
      <x:c r="F253" s="13" t="str">
        <x:f>IF(ISBLANK(E253),"PENDENTE",IF(ABS(D253-E253)&lt;=Conferencia!$B$7,"COINCIDE","DIVERGE"))</x:f>
        <x:v>COINCIDE</x:v>
      </x:c>
      <x:c r="G253" s="17"/>
      <x:c r="H253" s="1" t="str">
        <x:v>TOLERÂNCIA</x:v>
      </x:c>
      <x:c r="I253" s="1"/>
      <x:c r="J253" s="1"/>
      <x:c r="K253" s="1"/>
      <x:c r="L253" s="1"/>
      <x:c r="M253" s="1"/>
      <x:c r="N253" s="1"/>
    </x:row>
    <x:row r="254" ht="35" customHeight="1">
      <x:c r="A254" s="1" t="str">
        <x:v>capacidade</x:v>
      </x:c>
      <x:c r="B254" s="1" t="str">
        <x:v>2183|16</x:v>
      </x:c>
      <x:c r="C254" s="13" t="str">
        <x:v>quantidade_admissivel</x:v>
      </x:c>
      <x:c r="D254" s="19" t="n">
        <x:f>Capacidade!F19</x:f>
        <x:v>14</x:v>
      </x:c>
      <x:c r="E254" s="20" t="n">
        <x:v>14</x:v>
      </x:c>
      <x:c r="F254" s="13" t="str">
        <x:f>IF(ISBLANK(E254),"PENDENTE",IF(D254=E254,"COINCIDE","DIVERGE"))</x:f>
        <x:v>COINCIDE</x:v>
      </x:c>
      <x:c r="G254" s="17"/>
      <x:c r="H254" s="1" t="str">
        <x:v>EXATA</x:v>
      </x:c>
      <x:c r="I254" s="1"/>
      <x:c r="J254" s="1"/>
      <x:c r="K254" s="1"/>
      <x:c r="L254" s="1"/>
      <x:c r="M254" s="1"/>
      <x:c r="N254" s="1"/>
    </x:row>
    <x:row r="255" ht="35" customHeight="1">
      <x:c r="A255" s="1" t="str">
        <x:v>capacidade</x:v>
      </x:c>
      <x:c r="B255" s="1" t="str">
        <x:v>2183|16</x:v>
      </x:c>
      <x:c r="C255" s="13" t="str">
        <x:v>motivo</x:v>
      </x:c>
      <x:c r="D255" s="15" t="str">
        <x:f>Capacidade!G19</x:f>
        <x:v>ADMISSIVEL</x:v>
      </x:c>
      <x:c r="E255" s="16" t="str">
        <x:v>ADMISSIVEL</x:v>
      </x:c>
      <x:c r="F255" s="13" t="str">
        <x:f>IF(ISBLANK(E255),"PENDENTE",IF(D255=E255,"COINCIDE","DIVERGE"))</x:f>
        <x:v>COINCIDE</x:v>
      </x:c>
      <x:c r="G255" s="17"/>
      <x:c r="H255" s="1" t="str">
        <x:v>EXATA</x:v>
      </x:c>
      <x:c r="I255" s="1"/>
      <x:c r="J255" s="1"/>
      <x:c r="K255" s="1"/>
      <x:c r="L255" s="1"/>
      <x:c r="M255" s="1"/>
      <x:c r="N255" s="1"/>
    </x:row>
    <x:row r="256" ht="35" customHeight="1">
      <x:c r="A256" s="1" t="str">
        <x:v>capacidade</x:v>
      </x:c>
      <x:c r="B256" s="1" t="str">
        <x:v>2183|17</x:v>
      </x:c>
      <x:c r="C256" s="13" t="str">
        <x:v>cmm_destino</x:v>
      </x:c>
      <x:c r="D256" s="15" t="n">
        <x:f>Capacidade!C20</x:f>
        <x:v>0</x:v>
      </x:c>
      <x:c r="E256" s="16" t="n">
        <x:v>0</x:v>
      </x:c>
      <x:c r="F256" s="13" t="str">
        <x:f>IF(ISBLANK(E256),"PENDENTE",IF(ABS(D256-E256)&lt;=Conferencia!$B$7,"COINCIDE","DIVERGE"))</x:f>
        <x:v>COINCIDE</x:v>
      </x:c>
      <x:c r="G256" s="17"/>
      <x:c r="H256" s="1" t="str">
        <x:v>TOLERÂNCIA</x:v>
      </x:c>
      <x:c r="I256" s="1"/>
      <x:c r="J256" s="1"/>
      <x:c r="K256" s="1"/>
      <x:c r="L256" s="1"/>
      <x:c r="M256" s="1"/>
      <x:c r="N256" s="1"/>
    </x:row>
    <x:row r="257" ht="35" customHeight="1">
      <x:c r="A257" s="1" t="str">
        <x:v>capacidade</x:v>
      </x:c>
      <x:c r="B257" s="1" t="str">
        <x:v>2183|17</x:v>
      </x:c>
      <x:c r="C257" s="13" t="str">
        <x:v>capacidade_livre</x:v>
      </x:c>
      <x:c r="D257" s="15" t="n">
        <x:f>Capacidade!D20</x:f>
        <x:v>0</x:v>
      </x:c>
      <x:c r="E257" s="16" t="n">
        <x:v>0</x:v>
      </x:c>
      <x:c r="F257" s="13" t="str">
        <x:f>IF(ISBLANK(E257),"PENDENTE",IF(ABS(D257-E257)&lt;=Conferencia!$B$7,"COINCIDE","DIVERGE"))</x:f>
        <x:v>COINCIDE</x:v>
      </x:c>
      <x:c r="G257" s="17"/>
      <x:c r="H257" s="1" t="str">
        <x:v>TOLERÂNCIA</x:v>
      </x:c>
      <x:c r="I257" s="1"/>
      <x:c r="J257" s="1"/>
      <x:c r="K257" s="1"/>
      <x:c r="L257" s="1"/>
      <x:c r="M257" s="1"/>
      <x:c r="N257" s="1"/>
    </x:row>
    <x:row r="258" ht="35" customHeight="1">
      <x:c r="A258" s="1" t="str">
        <x:v>capacidade</x:v>
      </x:c>
      <x:c r="B258" s="1" t="str">
        <x:v>2183|17</x:v>
      </x:c>
      <x:c r="C258" s="13" t="str">
        <x:v>capacidade_sem_novo_risco</x:v>
      </x:c>
      <x:c r="D258" s="15" t="n">
        <x:f>Capacidade!E20</x:f>
        <x:v>0</x:v>
      </x:c>
      <x:c r="E258" s="16" t="n">
        <x:v>0</x:v>
      </x:c>
      <x:c r="F258" s="13" t="str">
        <x:f>IF(ISBLANK(E258),"PENDENTE",IF(ABS(D258-E258)&lt;=Conferencia!$B$7,"COINCIDE","DIVERGE"))</x:f>
        <x:v>COINCIDE</x:v>
      </x:c>
      <x:c r="G258" s="17"/>
      <x:c r="H258" s="1" t="str">
        <x:v>TOLERÂNCIA</x:v>
      </x:c>
      <x:c r="I258" s="1"/>
      <x:c r="J258" s="1"/>
      <x:c r="K258" s="1"/>
      <x:c r="L258" s="1"/>
      <x:c r="M258" s="1"/>
      <x:c r="N258" s="1"/>
    </x:row>
    <x:row r="259" ht="35" customHeight="1">
      <x:c r="A259" s="1" t="str">
        <x:v>capacidade</x:v>
      </x:c>
      <x:c r="B259" s="1" t="str">
        <x:v>2183|17</x:v>
      </x:c>
      <x:c r="C259" s="13" t="str">
        <x:v>quantidade_admissivel</x:v>
      </x:c>
      <x:c r="D259" s="19" t="n">
        <x:f>Capacidade!F20</x:f>
        <x:v>0</x:v>
      </x:c>
      <x:c r="E259" s="20" t="n">
        <x:v>0</x:v>
      </x:c>
      <x:c r="F259" s="13" t="str">
        <x:f>IF(ISBLANK(E259),"PENDENTE",IF(D259=E259,"COINCIDE","DIVERGE"))</x:f>
        <x:v>COINCIDE</x:v>
      </x:c>
      <x:c r="G259" s="17"/>
      <x:c r="H259" s="1" t="str">
        <x:v>EXATA</x:v>
      </x:c>
      <x:c r="I259" s="1"/>
      <x:c r="J259" s="1"/>
      <x:c r="K259" s="1"/>
      <x:c r="L259" s="1"/>
      <x:c r="M259" s="1"/>
      <x:c r="N259" s="1"/>
    </x:row>
    <x:row r="260" ht="35" customHeight="1">
      <x:c r="A260" s="1" t="str">
        <x:v>capacidade</x:v>
      </x:c>
      <x:c r="B260" s="1" t="str">
        <x:v>2183|17</x:v>
      </x:c>
      <x:c r="C260" s="13" t="str">
        <x:v>motivo</x:v>
      </x:c>
      <x:c r="D260" s="15" t="str">
        <x:f>Capacidade!G20</x:f>
        <x:v>CMM_ZERO</x:v>
      </x:c>
      <x:c r="E260" s="16" t="str">
        <x:v>CMM_ZERO</x:v>
      </x:c>
      <x:c r="F260" s="13" t="str">
        <x:f>IF(ISBLANK(E260),"PENDENTE",IF(D260=E260,"COINCIDE","DIVERGE"))</x:f>
        <x:v>COINCIDE</x:v>
      </x:c>
      <x:c r="G260" s="17"/>
      <x:c r="H260" s="1" t="str">
        <x:v>EXATA</x:v>
      </x:c>
      <x:c r="I260" s="1"/>
      <x:c r="J260" s="1"/>
      <x:c r="K260" s="1"/>
      <x:c r="L260" s="1"/>
      <x:c r="M260" s="1"/>
      <x:c r="N260" s="1"/>
    </x:row>
    <x:row r="261" ht="35" customHeight="1">
      <x:c r="A261" s="1" t="str">
        <x:v>plano_total</x:v>
      </x:c>
      <x:c r="B261" s="1" t="str">
        <x:v>66</x:v>
      </x:c>
      <x:c r="C261" s="13" t="str">
        <x:v>movimentos</x:v>
      </x:c>
      <x:c r="D261" s="19" t="n">
        <x:f>Plano!C8</x:f>
        <x:v>1</x:v>
      </x:c>
      <x:c r="E261" s="20" t="n">
        <x:v>1</x:v>
      </x:c>
      <x:c r="F261" s="13" t="str">
        <x:f>IF(ISBLANK(E261),"PENDENTE",IF(D261=E261,"COINCIDE","DIVERGE"))</x:f>
        <x:v>COINCIDE</x:v>
      </x:c>
      <x:c r="G261" s="17"/>
      <x:c r="H261" s="1" t="str">
        <x:v>EXATA</x:v>
      </x:c>
      <x:c r="I261" s="1"/>
      <x:c r="J261" s="1"/>
      <x:c r="K261" s="1"/>
      <x:c r="L261" s="1"/>
      <x:c r="M261" s="1"/>
      <x:c r="N261" s="1"/>
    </x:row>
    <x:row r="262" ht="35" customHeight="1">
      <x:c r="A262" s="1" t="str">
        <x:v>movimento</x:v>
      </x:c>
      <x:c r="B262" s="1" t="str">
        <x:v>1</x:v>
      </x:c>
      <x:c r="C262" s="13" t="str">
        <x:v>id_lote_origem</x:v>
      </x:c>
      <x:c r="D262" s="19" t="n">
        <x:f>Plano!B5</x:f>
        <x:v>2183</x:v>
      </x:c>
      <x:c r="E262" s="20" t="n">
        <x:v>2183</x:v>
      </x:c>
      <x:c r="F262" s="13" t="str">
        <x:f>IF(ISBLANK(E262),"PENDENTE",IF(D262=E262,"COINCIDE","DIVERGE"))</x:f>
        <x:v>COINCIDE</x:v>
      </x:c>
      <x:c r="G262" s="17"/>
      <x:c r="H262" s="1" t="str">
        <x:v>EXATA</x:v>
      </x:c>
      <x:c r="I262" s="1"/>
      <x:c r="J262" s="1"/>
      <x:c r="K262" s="1"/>
      <x:c r="L262" s="1"/>
      <x:c r="M262" s="1"/>
      <x:c r="N262" s="1"/>
    </x:row>
    <x:row r="263" ht="35" customHeight="1">
      <x:c r="A263" s="1" t="str">
        <x:v>movimento</x:v>
      </x:c>
      <x:c r="B263" s="1" t="str">
        <x:v>1</x:v>
      </x:c>
      <x:c r="C263" s="13" t="str">
        <x:v>id_unidade_origem</x:v>
      </x:c>
      <x:c r="D263" s="19" t="n">
        <x:f>Plano!C5</x:f>
        <x:v>11</x:v>
      </x:c>
      <x:c r="E263" s="20" t="n">
        <x:v>11</x:v>
      </x:c>
      <x:c r="F263" s="13" t="str">
        <x:f>IF(ISBLANK(E263),"PENDENTE",IF(D263=E263,"COINCIDE","DIVERGE"))</x:f>
        <x:v>COINCIDE</x:v>
      </x:c>
      <x:c r="G263" s="17"/>
      <x:c r="H263" s="1" t="str">
        <x:v>EXATA</x:v>
      </x:c>
      <x:c r="I263" s="1"/>
      <x:c r="J263" s="1"/>
      <x:c r="K263" s="1"/>
      <x:c r="L263" s="1"/>
      <x:c r="M263" s="1"/>
      <x:c r="N263" s="1"/>
    </x:row>
    <x:row r="264" ht="35" customHeight="1">
      <x:c r="A264" s="1" t="str">
        <x:v>movimento</x:v>
      </x:c>
      <x:c r="B264" s="1" t="str">
        <x:v>1</x:v>
      </x:c>
      <x:c r="C264" s="13" t="str">
        <x:v>id_unidade_destino</x:v>
      </x:c>
      <x:c r="D264" s="19" t="n">
        <x:f>Plano!K5</x:f>
        <x:v>6</x:v>
      </x:c>
      <x:c r="E264" s="20" t="n">
        <x:v>6</x:v>
      </x:c>
      <x:c r="F264" s="13" t="str">
        <x:f>IF(ISBLANK(E264),"PENDENTE",IF(D264=E264,"COINCIDE","DIVERGE"))</x:f>
        <x:v>COINCIDE</x:v>
      </x:c>
      <x:c r="G264" s="17"/>
      <x:c r="H264" s="1" t="str">
        <x:v>EXATA</x:v>
      </x:c>
      <x:c r="I264" s="1"/>
      <x:c r="J264" s="1"/>
      <x:c r="K264" s="1"/>
      <x:c r="L264" s="1"/>
      <x:c r="M264" s="1"/>
      <x:c r="N264" s="1"/>
    </x:row>
    <x:row r="265" ht="35" customHeight="1">
      <x:c r="A265" s="1" t="str">
        <x:v>movimento</x:v>
      </x:c>
      <x:c r="B265" s="1" t="str">
        <x:v>1</x:v>
      </x:c>
      <x:c r="C265" s="13" t="str">
        <x:v>quantidade_admissivel</x:v>
      </x:c>
      <x:c r="D265" s="19" t="n">
        <x:f>Plano!L5</x:f>
        <x:v>14</x:v>
      </x:c>
      <x:c r="E265" s="20" t="n">
        <x:v>14</x:v>
      </x:c>
      <x:c r="F265" s="13" t="str">
        <x:f>IF(ISBLANK(E265),"PENDENTE",IF(D265=E265,"COINCIDE","DIVERGE"))</x:f>
        <x:v>COINCIDE</x:v>
      </x:c>
      <x:c r="G265" s="17"/>
      <x:c r="H265" s="1" t="str">
        <x:v>EXATA</x:v>
      </x:c>
      <x:c r="I265" s="1"/>
      <x:c r="J265" s="1"/>
      <x:c r="K265" s="1"/>
      <x:c r="L265" s="1"/>
      <x:c r="M265" s="1"/>
      <x:c r="N265" s="1"/>
    </x:row>
    <x:row r="266" ht="35" customHeight="1">
      <x:c r="A266" s="1" t="str">
        <x:v>movimento</x:v>
      </x:c>
      <x:c r="B266" s="1" t="str">
        <x:v>1</x:v>
      </x:c>
      <x:c r="C266" s="13" t="str">
        <x:v>ordem_no_medicamento</x:v>
      </x:c>
      <x:c r="D266" s="19" t="n">
        <x:f>Plano!B57</x:f>
        <x:v>1</x:v>
      </x:c>
      <x:c r="E266" s="20" t="n">
        <x:v>1</x:v>
      </x:c>
      <x:c r="F266" s="13" t="str">
        <x:f>IF(ISBLANK(E266),"PENDENTE",IF(D266=E266,"COINCIDE","DIVERGE"))</x:f>
        <x:v>COINCIDE</x:v>
      </x:c>
      <x:c r="G266" s="17"/>
      <x:c r="H266" s="1" t="str">
        <x:v>EXATA</x:v>
      </x:c>
      <x:c r="I266" s="1"/>
      <x:c r="J266" s="1"/>
      <x:c r="K266" s="1"/>
      <x:c r="L266" s="1"/>
      <x:c r="M266" s="1"/>
      <x:c r="N266" s="1"/>
    </x:row>
    <x:row r="267" ht="35" customHeight="1">
      <x:c r="A267" s="1" t="str">
        <x:v>movimento</x:v>
      </x:c>
      <x:c r="B267" s="1" t="str">
        <x:v>1</x:v>
      </x:c>
      <x:c r="C267" s="13" t="str">
        <x:v>id_medicamento</x:v>
      </x:c>
      <x:c r="D267" s="19" t="n">
        <x:f>Plano!C57</x:f>
        <x:v>66</x:v>
      </x:c>
      <x:c r="E267" s="20" t="n">
        <x:v>66</x:v>
      </x:c>
      <x:c r="F267" s="13" t="str">
        <x:f>IF(ISBLANK(E267),"PENDENTE",IF(D267=E267,"COINCIDE","DIVERGE"))</x:f>
        <x:v>COINCIDE</x:v>
      </x:c>
      <x:c r="G267" s="17"/>
      <x:c r="H267" s="1" t="str">
        <x:v>EXATA</x:v>
      </x:c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conditionalFormatting sqref="F5:F267">
    <x:cfRule type="containsText" dxfId="0" priority="1" operator="containsText" text="COINCIDE"/>
    <x:cfRule type="containsText" dxfId="1" priority="2" operator="containsText" text="DIVERGE"/>
    <x:cfRule type="containsText" dxfId="2" priority="3" operator="containsText" text="PENDEN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Estoque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Recorte de estoque_preparado.csv: todos os lotes das combinações selecionadas. Sem saídas do modelo.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Lote</x:v>
      </x:c>
      <x:c r="B4" s="7" t="str">
        <x:v>Unidade</x:v>
      </x:c>
      <x:c r="C4" s="7" t="str">
        <x:v>Medicamento</x:v>
      </x:c>
      <x:c r="D4" s="7" t="str">
        <x:v>Quantidade</x:v>
      </x:c>
      <x:c r="E4" s="7" t="str">
        <x:v>Validade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1" customHeight="1">
      <x:c r="A5" s="9" t="n">
        <x:v>15</x:v>
      </x:c>
      <x:c r="B5" s="9" t="n">
        <x:v>1</x:v>
      </x:c>
      <x:c r="C5" s="9" t="n">
        <x:v>6</x:v>
      </x:c>
      <x:c r="D5" s="9" t="n">
        <x:v>1480</x:v>
      </x:c>
      <x:c r="E5" s="10" t="n">
        <x:v>46554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1" customHeight="1">
      <x:c r="A6" s="9" t="n">
        <x:v>14</x:v>
      </x:c>
      <x:c r="B6" s="9" t="n">
        <x:v>1</x:v>
      </x:c>
      <x:c r="C6" s="9" t="n">
        <x:v>6</x:v>
      </x:c>
      <x:c r="D6" s="9" t="n">
        <x:v>3440</x:v>
      </x:c>
      <x:c r="E6" s="10" t="n">
        <x:v>46597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 ht="21" customHeight="1">
      <x:c r="A7" s="9" t="n">
        <x:v>108</x:v>
      </x:c>
      <x:c r="B7" s="9" t="n">
        <x:v>1</x:v>
      </x:c>
      <x:c r="C7" s="9" t="n">
        <x:v>97</x:v>
      </x:c>
      <x:c r="D7" s="9" t="n">
        <x:v>2</x:v>
      </x:c>
      <x:c r="E7" s="10" t="n">
        <x:v>46253</x:v>
      </x:c>
      <x:c r="F7" s="1"/>
      <x:c r="G7" s="1"/>
      <x:c r="H7" s="1"/>
      <x:c r="I7" s="1"/>
      <x:c r="J7" s="1"/>
      <x:c r="K7" s="1"/>
      <x:c r="L7" s="1"/>
      <x:c r="M7" s="1"/>
      <x:c r="N7" s="1"/>
    </x:row>
    <x:row r="8" ht="21" customHeight="1">
      <x:c r="A8" s="9" t="n">
        <x:v>109</x:v>
      </x:c>
      <x:c r="B8" s="9" t="n">
        <x:v>1</x:v>
      </x:c>
      <x:c r="C8" s="9" t="n">
        <x:v>97</x:v>
      </x:c>
      <x:c r="D8" s="9" t="n">
        <x:v>4</x:v>
      </x:c>
      <x:c r="E8" s="10" t="n">
        <x:v>46500</x:v>
      </x:c>
      <x:c r="F8" s="1"/>
      <x:c r="G8" s="1"/>
      <x:c r="H8" s="1"/>
      <x:c r="I8" s="1"/>
      <x:c r="J8" s="1"/>
      <x:c r="K8" s="1"/>
      <x:c r="L8" s="1"/>
      <x:c r="M8" s="1"/>
      <x:c r="N8" s="1"/>
    </x:row>
    <x:row r="9" ht="21" customHeight="1">
      <x:c r="A9" s="9" t="n">
        <x:v>110</x:v>
      </x:c>
      <x:c r="B9" s="9" t="n">
        <x:v>1</x:v>
      </x:c>
      <x:c r="C9" s="9" t="n">
        <x:v>97</x:v>
      </x:c>
      <x:c r="D9" s="9" t="n">
        <x:v>4</x:v>
      </x:c>
      <x:c r="E9" s="10" t="n">
        <x:v>46500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 ht="21" customHeight="1">
      <x:c r="A10" s="9" t="n">
        <x:v>330</x:v>
      </x:c>
      <x:c r="B10" s="9" t="n">
        <x:v>3</x:v>
      </x:c>
      <x:c r="C10" s="9" t="n">
        <x:v>5</x:v>
      </x:c>
      <x:c r="D10" s="9" t="n">
        <x:v>240</x:v>
      </x:c>
      <x:c r="E10" s="10" t="n">
        <x:v>46286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1" customHeight="1">
      <x:c r="A11" s="9" t="n">
        <x:v>332</x:v>
      </x:c>
      <x:c r="B11" s="9" t="n">
        <x:v>3</x:v>
      </x:c>
      <x:c r="C11" s="9" t="n">
        <x:v>5</x:v>
      </x:c>
      <x:c r="D11" s="9" t="n">
        <x:v>540</x:v>
      </x:c>
      <x:c r="E11" s="10" t="n">
        <x:v>46300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9" t="n">
        <x:v>331</x:v>
      </x:c>
      <x:c r="B12" s="9" t="n">
        <x:v>3</x:v>
      </x:c>
      <x:c r="C12" s="9" t="n">
        <x:v>5</x:v>
      </x:c>
      <x:c r="D12" s="9" t="n">
        <x:v>120</x:v>
      </x:c>
      <x:c r="E12" s="10" t="n">
        <x:v>46478</x:v>
      </x:c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9" t="n">
        <x:v>333</x:v>
      </x:c>
      <x:c r="B13" s="9" t="n">
        <x:v>3</x:v>
      </x:c>
      <x:c r="C13" s="9" t="n">
        <x:v>5</x:v>
      </x:c>
      <x:c r="D13" s="9" t="n">
        <x:v>360</x:v>
      </x:c>
      <x:c r="E13" s="10" t="n">
        <x:v>46514</x:v>
      </x:c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9" t="n">
        <x:v>328</x:v>
      </x:c>
      <x:c r="B14" s="9" t="n">
        <x:v>3</x:v>
      </x:c>
      <x:c r="C14" s="9" t="n">
        <x:v>5</x:v>
      </x:c>
      <x:c r="D14" s="9" t="n">
        <x:v>30</x:v>
      </x:c>
      <x:c r="E14" s="10" t="n">
        <x:v>46528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9" t="n">
        <x:v>334</x:v>
      </x:c>
      <x:c r="B15" s="9" t="n">
        <x:v>3</x:v>
      </x:c>
      <x:c r="C15" s="9" t="n">
        <x:v>5</x:v>
      </x:c>
      <x:c r="D15" s="9" t="n">
        <x:v>720</x:v>
      </x:c>
      <x:c r="E15" s="10" t="n">
        <x:v>46535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9" t="n">
        <x:v>329</x:v>
      </x:c>
      <x:c r="B16" s="9" t="n">
        <x:v>3</x:v>
      </x:c>
      <x:c r="C16" s="9" t="n">
        <x:v>5</x:v>
      </x:c>
      <x:c r="D16" s="9" t="n">
        <x:v>240</x:v>
      </x:c>
      <x:c r="E16" s="10" t="n">
        <x:v>46599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1" customHeight="1">
      <x:c r="A17" s="9" t="n">
        <x:v>335</x:v>
      </x:c>
      <x:c r="B17" s="9" t="n">
        <x:v>3</x:v>
      </x:c>
      <x:c r="C17" s="9" t="n">
        <x:v>5</x:v>
      </x:c>
      <x:c r="D17" s="9" t="n">
        <x:v>360</x:v>
      </x:c>
      <x:c r="E17" s="10" t="n">
        <x:v>46681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1" customHeight="1">
      <x:c r="A18" s="9" t="n">
        <x:v>1254</x:v>
      </x:c>
      <x:c r="B18" s="9" t="n">
        <x:v>7</x:v>
      </x:c>
      <x:c r="C18" s="9" t="n">
        <x:v>66</x:v>
      </x:c>
      <x:c r="D18" s="9" t="n">
        <x:v>250</x:v>
      </x:c>
      <x:c r="E18" s="10" t="n">
        <x:v>46621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1" customHeight="1">
      <x:c r="A19" s="9" t="n">
        <x:v>2183</x:v>
      </x:c>
      <x:c r="B19" s="9" t="n">
        <x:v>11</x:v>
      </x:c>
      <x:c r="C19" s="9" t="n">
        <x:v>66</x:v>
      </x:c>
      <x:c r="D19" s="9" t="n">
        <x:v>14</x:v>
      </x:c>
      <x:c r="E19" s="10" t="n">
        <x:v>46309</x:v>
      </x:c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1" customHeight="1">
      <x:c r="A20" s="9" t="n">
        <x:v>2642</x:v>
      </x:c>
      <x:c r="B20" s="9" t="n">
        <x:v>12</x:v>
      </x:c>
      <x:c r="C20" s="9" t="n">
        <x:v>111</x:v>
      </x:c>
      <x:c r="D20" s="9" t="n">
        <x:v>1</x:v>
      </x:c>
      <x:c r="E20" s="10" t="n">
        <x:v>46212</x:v>
      </x:c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1" customHeight="1">
      <x:c r="A21" s="9" t="n">
        <x:v>2644</x:v>
      </x:c>
      <x:c r="B21" s="9" t="n">
        <x:v>12</x:v>
      </x:c>
      <x:c r="C21" s="9" t="n">
        <x:v>111</x:v>
      </x:c>
      <x:c r="D21" s="9" t="n">
        <x:v>1</x:v>
      </x:c>
      <x:c r="E21" s="10" t="n">
        <x:v>46536</x:v>
      </x:c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1" customHeight="1">
      <x:c r="A22" s="9" t="n">
        <x:v>2643</x:v>
      </x:c>
      <x:c r="B22" s="9" t="n">
        <x:v>12</x:v>
      </x:c>
      <x:c r="C22" s="9" t="n">
        <x:v>111</x:v>
      </x:c>
      <x:c r="D22" s="9" t="n">
        <x:v>2</x:v>
      </x:c>
      <x:c r="E22" s="10" t="n">
        <x:v>46622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1" customHeight="1">
      <x:c r="A23" s="9" t="n">
        <x:v>2645</x:v>
      </x:c>
      <x:c r="B23" s="9" t="n">
        <x:v>12</x:v>
      </x:c>
      <x:c r="C23" s="9" t="n">
        <x:v>111</x:v>
      </x:c>
      <x:c r="D23" s="9" t="n">
        <x:v>1</x:v>
      </x:c>
      <x:c r="E23" s="10" t="n">
        <x:v>46690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4D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Historico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4" t="str">
        <x:v>Recorte de historico_sintetico.csv: seis meses completos por combinação. CMM calculado à direita.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Unidade</x:v>
      </x:c>
      <x:c r="B4" s="7" t="str">
        <x:v>Medicamento</x:v>
      </x:c>
      <x:c r="C4" s="7" t="str">
        <x:v>Índice do mês</x:v>
      </x:c>
      <x:c r="D4" s="7" t="str">
        <x:v>Período</x:v>
      </x:c>
      <x:c r="E4" s="7" t="str">
        <x:v>Saída mensal</x:v>
      </x:c>
      <x:c r="F4" s="1"/>
      <x:c r="G4" s="7" t="str">
        <x:v>Unidade</x:v>
      </x:c>
      <x:c r="H4" s="7" t="str">
        <x:v>Medicamento</x:v>
      </x:c>
      <x:c r="I4" s="7" t="str">
        <x:v>Meses</x:v>
      </x:c>
      <x:c r="J4" s="7" t="str">
        <x:v>Soma das saídas</x:v>
      </x:c>
      <x:c r="K4" s="7" t="str">
        <x:v>CMM</x:v>
      </x:c>
      <x:c r="L4" s="1"/>
      <x:c r="M4" s="1"/>
      <x:c r="N4" s="1"/>
    </x:row>
    <x:row r="5" ht="21" customHeight="1">
      <x:c r="A5" s="9" t="n">
        <x:v>1</x:v>
      </x:c>
      <x:c r="B5" s="9" t="n">
        <x:v>5</x:v>
      </x:c>
      <x:c r="C5" s="9" t="n">
        <x:v>-6</x:v>
      </x:c>
      <x:c r="D5" s="9" t="str">
        <x:v>2025-12</x:v>
      </x:c>
      <x:c r="E5" s="9" t="n">
        <x:v>0</x:v>
      </x:c>
      <x:c r="F5" s="1"/>
      <x:c r="G5" s="1" t="n">
        <x:v>1</x:v>
      </x:c>
      <x:c r="H5" s="1" t="n">
        <x:v>5</x:v>
      </x:c>
      <x:c r="I5" s="1" t="n">
        <x:f>COUNTIFS($A$5:$A$142,G5,$B$5:$B$142,H5)</x:f>
        <x:v>6</x:v>
      </x:c>
      <x:c r="J5" s="1" t="n">
        <x:f>SUMIFS($E$5:$E$142,$A$5:$A$142,G5,$B$5:$B$142,H5)</x:f>
        <x:v>0</x:v>
      </x:c>
      <x:c r="K5" s="11" t="n">
        <x:f>J5/Conferencia!$B$8</x:f>
        <x:v>0</x:v>
      </x:c>
      <x:c r="L5" s="1"/>
      <x:c r="M5" s="1"/>
      <x:c r="N5" s="1"/>
    </x:row>
    <x:row r="6" ht="21" customHeight="1">
      <x:c r="A6" s="9" t="n">
        <x:v>1</x:v>
      </x:c>
      <x:c r="B6" s="9" t="n">
        <x:v>5</x:v>
      </x:c>
      <x:c r="C6" s="9" t="n">
        <x:v>-5</x:v>
      </x:c>
      <x:c r="D6" s="9" t="str">
        <x:v>2026-01</x:v>
      </x:c>
      <x:c r="E6" s="9" t="n">
        <x:v>0</x:v>
      </x:c>
      <x:c r="F6" s="1"/>
      <x:c r="G6" s="1" t="n">
        <x:v>1</x:v>
      </x:c>
      <x:c r="H6" s="1" t="n">
        <x:v>6</x:v>
      </x:c>
      <x:c r="I6" s="1" t="n">
        <x:f>COUNTIFS($A$5:$A$142,G6,$B$5:$B$142,H6)</x:f>
        <x:v>6</x:v>
      </x:c>
      <x:c r="J6" s="1" t="n">
        <x:f>SUMIFS($E$5:$E$142,$A$5:$A$142,G6,$B$5:$B$142,H6)</x:f>
        <x:v>0</x:v>
      </x:c>
      <x:c r="K6" s="11" t="n">
        <x:f>J6/Conferencia!$B$8</x:f>
        <x:v>0</x:v>
      </x:c>
      <x:c r="L6" s="1"/>
      <x:c r="M6" s="1"/>
      <x:c r="N6" s="1"/>
    </x:row>
    <x:row r="7" ht="21" customHeight="1">
      <x:c r="A7" s="9" t="n">
        <x:v>1</x:v>
      </x:c>
      <x:c r="B7" s="9" t="n">
        <x:v>5</x:v>
      </x:c>
      <x:c r="C7" s="9" t="n">
        <x:v>-4</x:v>
      </x:c>
      <x:c r="D7" s="9" t="str">
        <x:v>2026-02</x:v>
      </x:c>
      <x:c r="E7" s="9" t="n">
        <x:v>0</x:v>
      </x:c>
      <x:c r="F7" s="1"/>
      <x:c r="G7" s="1" t="n">
        <x:v>1</x:v>
      </x:c>
      <x:c r="H7" s="1" t="n">
        <x:v>8</x:v>
      </x:c>
      <x:c r="I7" s="1" t="n">
        <x:f>COUNTIFS($A$5:$A$142,G7,$B$5:$B$142,H7)</x:f>
        <x:v>6</x:v>
      </x:c>
      <x:c r="J7" s="1" t="n">
        <x:f>SUMIFS($E$5:$E$142,$A$5:$A$142,G7,$B$5:$B$142,H7)</x:f>
        <x:v>625</x:v>
      </x:c>
      <x:c r="K7" s="11" t="n">
        <x:f>J7/Conferencia!$B$8</x:f>
        <x:v>104.16666666666667</x:v>
      </x:c>
      <x:c r="L7" s="1"/>
      <x:c r="M7" s="1"/>
      <x:c r="N7" s="1"/>
    </x:row>
    <x:row r="8" ht="21" customHeight="1">
      <x:c r="A8" s="9" t="n">
        <x:v>1</x:v>
      </x:c>
      <x:c r="B8" s="9" t="n">
        <x:v>5</x:v>
      </x:c>
      <x:c r="C8" s="9" t="n">
        <x:v>-3</x:v>
      </x:c>
      <x:c r="D8" s="9" t="str">
        <x:v>2026-03</x:v>
      </x:c>
      <x:c r="E8" s="9" t="n">
        <x:v>0</x:v>
      </x:c>
      <x:c r="F8" s="1"/>
      <x:c r="G8" s="1" t="n">
        <x:v>1</x:v>
      </x:c>
      <x:c r="H8" s="1" t="n">
        <x:v>66</x:v>
      </x:c>
      <x:c r="I8" s="1" t="n">
        <x:f>COUNTIFS($A$5:$A$142,G8,$B$5:$B$142,H8)</x:f>
        <x:v>6</x:v>
      </x:c>
      <x:c r="J8" s="1" t="n">
        <x:f>SUMIFS($E$5:$E$142,$A$5:$A$142,G8,$B$5:$B$142,H8)</x:f>
        <x:v>547</x:v>
      </x:c>
      <x:c r="K8" s="11" t="n">
        <x:f>J8/Conferencia!$B$8</x:f>
        <x:v>91.16666666666667</x:v>
      </x:c>
      <x:c r="L8" s="1"/>
      <x:c r="M8" s="1"/>
      <x:c r="N8" s="1"/>
    </x:row>
    <x:row r="9" ht="21" customHeight="1">
      <x:c r="A9" s="9" t="n">
        <x:v>1</x:v>
      </x:c>
      <x:c r="B9" s="9" t="n">
        <x:v>5</x:v>
      </x:c>
      <x:c r="C9" s="9" t="n">
        <x:v>-2</x:v>
      </x:c>
      <x:c r="D9" s="9" t="str">
        <x:v>2026-04</x:v>
      </x:c>
      <x:c r="E9" s="9" t="n">
        <x:v>0</x:v>
      </x:c>
      <x:c r="F9" s="1"/>
      <x:c r="G9" s="1" t="n">
        <x:v>1</x:v>
      </x:c>
      <x:c r="H9" s="1" t="n">
        <x:v>97</x:v>
      </x:c>
      <x:c r="I9" s="1" t="n">
        <x:f>COUNTIFS($A$5:$A$142,G9,$B$5:$B$142,H9)</x:f>
        <x:v>6</x:v>
      </x:c>
      <x:c r="J9" s="1" t="n">
        <x:f>SUMIFS($E$5:$E$142,$A$5:$A$142,G9,$B$5:$B$142,H9)</x:f>
        <x:v>242</x:v>
      </x:c>
      <x:c r="K9" s="11" t="n">
        <x:f>J9/Conferencia!$B$8</x:f>
        <x:v>40.333333333333336</x:v>
      </x:c>
      <x:c r="L9" s="1"/>
      <x:c r="M9" s="1"/>
      <x:c r="N9" s="1"/>
    </x:row>
    <x:row r="10" ht="21" customHeight="1">
      <x:c r="A10" s="9" t="n">
        <x:v>1</x:v>
      </x:c>
      <x:c r="B10" s="9" t="n">
        <x:v>5</x:v>
      </x:c>
      <x:c r="C10" s="9" t="n">
        <x:v>-1</x:v>
      </x:c>
      <x:c r="D10" s="9" t="str">
        <x:v>2026-05</x:v>
      </x:c>
      <x:c r="E10" s="9" t="n">
        <x:v>0</x:v>
      </x:c>
      <x:c r="F10" s="1"/>
      <x:c r="G10" s="1" t="n">
        <x:v>2</x:v>
      </x:c>
      <x:c r="H10" s="1" t="n">
        <x:v>66</x:v>
      </x:c>
      <x:c r="I10" s="1" t="n">
        <x:f>COUNTIFS($A$5:$A$142,G10,$B$5:$B$142,H10)</x:f>
        <x:v>6</x:v>
      </x:c>
      <x:c r="J10" s="1" t="n">
        <x:f>SUMIFS($E$5:$E$142,$A$5:$A$142,G10,$B$5:$B$142,H10)</x:f>
        <x:v>494</x:v>
      </x:c>
      <x:c r="K10" s="11" t="n">
        <x:f>J10/Conferencia!$B$8</x:f>
        <x:v>82.33333333333333</x:v>
      </x:c>
      <x:c r="L10" s="1"/>
      <x:c r="M10" s="1"/>
      <x:c r="N10" s="1"/>
    </x:row>
    <x:row r="11" ht="21" customHeight="1">
      <x:c r="A11" s="9" t="n">
        <x:v>1</x:v>
      </x:c>
      <x:c r="B11" s="9" t="n">
        <x:v>6</x:v>
      </x:c>
      <x:c r="C11" s="9" t="n">
        <x:v>-6</x:v>
      </x:c>
      <x:c r="D11" s="9" t="str">
        <x:v>2025-12</x:v>
      </x:c>
      <x:c r="E11" s="9" t="n">
        <x:v>0</x:v>
      </x:c>
      <x:c r="F11" s="1"/>
      <x:c r="G11" s="1" t="n">
        <x:v>3</x:v>
      </x:c>
      <x:c r="H11" s="1" t="n">
        <x:v>5</x:v>
      </x:c>
      <x:c r="I11" s="1" t="n">
        <x:f>COUNTIFS($A$5:$A$142,G11,$B$5:$B$142,H11)</x:f>
        <x:v>6</x:v>
      </x:c>
      <x:c r="J11" s="1" t="n">
        <x:f>SUMIFS($E$5:$E$142,$A$5:$A$142,G11,$B$5:$B$142,H11)</x:f>
        <x:v>71</x:v>
      </x:c>
      <x:c r="K11" s="11" t="n">
        <x:f>J11/Conferencia!$B$8</x:f>
        <x:v>11.833333333333334</x:v>
      </x:c>
      <x:c r="L11" s="1"/>
      <x:c r="M11" s="1"/>
      <x:c r="N11" s="1"/>
    </x:row>
    <x:row r="12" ht="21" customHeight="1">
      <x:c r="A12" s="9" t="n">
        <x:v>1</x:v>
      </x:c>
      <x:c r="B12" s="9" t="n">
        <x:v>6</x:v>
      </x:c>
      <x:c r="C12" s="9" t="n">
        <x:v>-5</x:v>
      </x:c>
      <x:c r="D12" s="9" t="str">
        <x:v>2026-01</x:v>
      </x:c>
      <x:c r="E12" s="9" t="n">
        <x:v>0</x:v>
      </x:c>
      <x:c r="F12" s="1"/>
      <x:c r="G12" s="1" t="n">
        <x:v>3</x:v>
      </x:c>
      <x:c r="H12" s="1" t="n">
        <x:v>66</x:v>
      </x:c>
      <x:c r="I12" s="1" t="n">
        <x:f>COUNTIFS($A$5:$A$142,G12,$B$5:$B$142,H12)</x:f>
        <x:v>6</x:v>
      </x:c>
      <x:c r="J12" s="1" t="n">
        <x:f>SUMIFS($E$5:$E$142,$A$5:$A$142,G12,$B$5:$B$142,H12)</x:f>
        <x:v>490</x:v>
      </x:c>
      <x:c r="K12" s="11" t="n">
        <x:f>J12/Conferencia!$B$8</x:f>
        <x:v>81.66666666666667</x:v>
      </x:c>
      <x:c r="L12" s="1"/>
      <x:c r="M12" s="1"/>
      <x:c r="N12" s="1"/>
    </x:row>
    <x:row r="13" ht="21" customHeight="1">
      <x:c r="A13" s="9" t="n">
        <x:v>1</x:v>
      </x:c>
      <x:c r="B13" s="9" t="n">
        <x:v>6</x:v>
      </x:c>
      <x:c r="C13" s="9" t="n">
        <x:v>-4</x:v>
      </x:c>
      <x:c r="D13" s="9" t="str">
        <x:v>2026-02</x:v>
      </x:c>
      <x:c r="E13" s="9" t="n">
        <x:v>0</x:v>
      </x:c>
      <x:c r="F13" s="1"/>
      <x:c r="G13" s="1" t="n">
        <x:v>4</x:v>
      </x:c>
      <x:c r="H13" s="1" t="n">
        <x:v>66</x:v>
      </x:c>
      <x:c r="I13" s="1" t="n">
        <x:f>COUNTIFS($A$5:$A$142,G13,$B$5:$B$142,H13)</x:f>
        <x:v>6</x:v>
      </x:c>
      <x:c r="J13" s="1" t="n">
        <x:f>SUMIFS($E$5:$E$142,$A$5:$A$142,G13,$B$5:$B$142,H13)</x:f>
        <x:v>545</x:v>
      </x:c>
      <x:c r="K13" s="11" t="n">
        <x:f>J13/Conferencia!$B$8</x:f>
        <x:v>90.83333333333333</x:v>
      </x:c>
      <x:c r="L13" s="1"/>
      <x:c r="M13" s="1"/>
      <x:c r="N13" s="1"/>
    </x:row>
    <x:row r="14" ht="21" customHeight="1">
      <x:c r="A14" s="9" t="n">
        <x:v>1</x:v>
      </x:c>
      <x:c r="B14" s="9" t="n">
        <x:v>6</x:v>
      </x:c>
      <x:c r="C14" s="9" t="n">
        <x:v>-3</x:v>
      </x:c>
      <x:c r="D14" s="9" t="str">
        <x:v>2026-03</x:v>
      </x:c>
      <x:c r="E14" s="9" t="n">
        <x:v>0</x:v>
      </x:c>
      <x:c r="F14" s="1"/>
      <x:c r="G14" s="1" t="n">
        <x:v>5</x:v>
      </x:c>
      <x:c r="H14" s="1" t="n">
        <x:v>66</x:v>
      </x:c>
      <x:c r="I14" s="1" t="n">
        <x:f>COUNTIFS($A$5:$A$142,G14,$B$5:$B$142,H14)</x:f>
        <x:v>6</x:v>
      </x:c>
      <x:c r="J14" s="1" t="n">
        <x:f>SUMIFS($E$5:$E$142,$A$5:$A$142,G14,$B$5:$B$142,H14)</x:f>
        <x:v>201</x:v>
      </x:c>
      <x:c r="K14" s="11" t="n">
        <x:f>J14/Conferencia!$B$8</x:f>
        <x:v>33.5</x:v>
      </x:c>
      <x:c r="L14" s="1"/>
      <x:c r="M14" s="1"/>
      <x:c r="N14" s="1"/>
    </x:row>
    <x:row r="15" ht="21" customHeight="1">
      <x:c r="A15" s="9" t="n">
        <x:v>1</x:v>
      </x:c>
      <x:c r="B15" s="9" t="n">
        <x:v>6</x:v>
      </x:c>
      <x:c r="C15" s="9" t="n">
        <x:v>-2</x:v>
      </x:c>
      <x:c r="D15" s="9" t="str">
        <x:v>2026-04</x:v>
      </x:c>
      <x:c r="E15" s="9" t="n">
        <x:v>0</x:v>
      </x:c>
      <x:c r="F15" s="1"/>
      <x:c r="G15" s="1" t="n">
        <x:v>6</x:v>
      </x:c>
      <x:c r="H15" s="1" t="n">
        <x:v>66</x:v>
      </x:c>
      <x:c r="I15" s="1" t="n">
        <x:f>COUNTIFS($A$5:$A$142,G15,$B$5:$B$142,H15)</x:f>
        <x:v>6</x:v>
      </x:c>
      <x:c r="J15" s="1" t="n">
        <x:f>SUMIFS($E$5:$E$142,$A$5:$A$142,G15,$B$5:$B$142,H15)</x:f>
        <x:v>726</x:v>
      </x:c>
      <x:c r="K15" s="11" t="n">
        <x:f>J15/Conferencia!$B$8</x:f>
        <x:v>121</x:v>
      </x:c>
      <x:c r="L15" s="1"/>
      <x:c r="M15" s="1"/>
      <x:c r="N15" s="1"/>
    </x:row>
    <x:row r="16" ht="21" customHeight="1">
      <x:c r="A16" s="9" t="n">
        <x:v>1</x:v>
      </x:c>
      <x:c r="B16" s="9" t="n">
        <x:v>6</x:v>
      </x:c>
      <x:c r="C16" s="9" t="n">
        <x:v>-1</x:v>
      </x:c>
      <x:c r="D16" s="9" t="str">
        <x:v>2026-05</x:v>
      </x:c>
      <x:c r="E16" s="9" t="n">
        <x:v>0</x:v>
      </x:c>
      <x:c r="F16" s="1"/>
      <x:c r="G16" s="1" t="n">
        <x:v>7</x:v>
      </x:c>
      <x:c r="H16" s="1" t="n">
        <x:v>66</x:v>
      </x:c>
      <x:c r="I16" s="1" t="n">
        <x:f>COUNTIFS($A$5:$A$142,G16,$B$5:$B$142,H16)</x:f>
        <x:v>6</x:v>
      </x:c>
      <x:c r="J16" s="1" t="n">
        <x:f>SUMIFS($E$5:$E$142,$A$5:$A$142,G16,$B$5:$B$142,H16)</x:f>
        <x:v>230</x:v>
      </x:c>
      <x:c r="K16" s="11" t="n">
        <x:f>J16/Conferencia!$B$8</x:f>
        <x:v>38.333333333333336</x:v>
      </x:c>
      <x:c r="L16" s="1"/>
      <x:c r="M16" s="1"/>
      <x:c r="N16" s="1"/>
    </x:row>
    <x:row r="17" ht="21" customHeight="1">
      <x:c r="A17" s="9" t="n">
        <x:v>1</x:v>
      </x:c>
      <x:c r="B17" s="9" t="n">
        <x:v>8</x:v>
      </x:c>
      <x:c r="C17" s="9" t="n">
        <x:v>-6</x:v>
      </x:c>
      <x:c r="D17" s="9" t="str">
        <x:v>2025-12</x:v>
      </x:c>
      <x:c r="E17" s="9" t="n">
        <x:v>101</x:v>
      </x:c>
      <x:c r="F17" s="1"/>
      <x:c r="G17" s="1" t="n">
        <x:v>8</x:v>
      </x:c>
      <x:c r="H17" s="1" t="n">
        <x:v>66</x:v>
      </x:c>
      <x:c r="I17" s="1" t="n">
        <x:f>COUNTIFS($A$5:$A$142,G17,$B$5:$B$142,H17)</x:f>
        <x:v>6</x:v>
      </x:c>
      <x:c r="J17" s="1" t="n">
        <x:f>SUMIFS($E$5:$E$142,$A$5:$A$142,G17,$B$5:$B$142,H17)</x:f>
        <x:v>446</x:v>
      </x:c>
      <x:c r="K17" s="11" t="n">
        <x:f>J17/Conferencia!$B$8</x:f>
        <x:v>74.33333333333333</x:v>
      </x:c>
      <x:c r="L17" s="1"/>
      <x:c r="M17" s="1"/>
      <x:c r="N17" s="1"/>
    </x:row>
    <x:row r="18" ht="21" customHeight="1">
      <x:c r="A18" s="9" t="n">
        <x:v>1</x:v>
      </x:c>
      <x:c r="B18" s="9" t="n">
        <x:v>8</x:v>
      </x:c>
      <x:c r="C18" s="9" t="n">
        <x:v>-5</x:v>
      </x:c>
      <x:c r="D18" s="9" t="str">
        <x:v>2026-01</x:v>
      </x:c>
      <x:c r="E18" s="9" t="n">
        <x:v>85</x:v>
      </x:c>
      <x:c r="F18" s="1"/>
      <x:c r="G18" s="1" t="n">
        <x:v>9</x:v>
      </x:c>
      <x:c r="H18" s="1" t="n">
        <x:v>66</x:v>
      </x:c>
      <x:c r="I18" s="1" t="n">
        <x:f>COUNTIFS($A$5:$A$142,G18,$B$5:$B$142,H18)</x:f>
        <x:v>6</x:v>
      </x:c>
      <x:c r="J18" s="1" t="n">
        <x:f>SUMIFS($E$5:$E$142,$A$5:$A$142,G18,$B$5:$B$142,H18)</x:f>
        <x:v>0</x:v>
      </x:c>
      <x:c r="K18" s="11" t="n">
        <x:f>J18/Conferencia!$B$8</x:f>
        <x:v>0</x:v>
      </x:c>
      <x:c r="L18" s="1"/>
      <x:c r="M18" s="1"/>
      <x:c r="N18" s="1"/>
    </x:row>
    <x:row r="19" ht="21" customHeight="1">
      <x:c r="A19" s="9" t="n">
        <x:v>1</x:v>
      </x:c>
      <x:c r="B19" s="9" t="n">
        <x:v>8</x:v>
      </x:c>
      <x:c r="C19" s="9" t="n">
        <x:v>-4</x:v>
      </x:c>
      <x:c r="D19" s="9" t="str">
        <x:v>2026-02</x:v>
      </x:c>
      <x:c r="E19" s="9" t="n">
        <x:v>115</x:v>
      </x:c>
      <x:c r="F19" s="1"/>
      <x:c r="G19" s="1" t="n">
        <x:v>10</x:v>
      </x:c>
      <x:c r="H19" s="1" t="n">
        <x:v>66</x:v>
      </x:c>
      <x:c r="I19" s="1" t="n">
        <x:f>COUNTIFS($A$5:$A$142,G19,$B$5:$B$142,H19)</x:f>
        <x:v>6</x:v>
      </x:c>
      <x:c r="J19" s="1" t="n">
        <x:f>SUMIFS($E$5:$E$142,$A$5:$A$142,G19,$B$5:$B$142,H19)</x:f>
        <x:v>240</x:v>
      </x:c>
      <x:c r="K19" s="11" t="n">
        <x:f>J19/Conferencia!$B$8</x:f>
        <x:v>40</x:v>
      </x:c>
      <x:c r="L19" s="1"/>
      <x:c r="M19" s="1"/>
      <x:c r="N19" s="1"/>
    </x:row>
    <x:row r="20" ht="21" customHeight="1">
      <x:c r="A20" s="9" t="n">
        <x:v>1</x:v>
      </x:c>
      <x:c r="B20" s="9" t="n">
        <x:v>8</x:v>
      </x:c>
      <x:c r="C20" s="9" t="n">
        <x:v>-3</x:v>
      </x:c>
      <x:c r="D20" s="9" t="str">
        <x:v>2026-03</x:v>
      </x:c>
      <x:c r="E20" s="9" t="n">
        <x:v>102</x:v>
      </x:c>
      <x:c r="F20" s="1"/>
      <x:c r="G20" s="1" t="n">
        <x:v>11</x:v>
      </x:c>
      <x:c r="H20" s="1" t="n">
        <x:v>66</x:v>
      </x:c>
      <x:c r="I20" s="1" t="n">
        <x:f>COUNTIFS($A$5:$A$142,G20,$B$5:$B$142,H20)</x:f>
        <x:v>6</x:v>
      </x:c>
      <x:c r="J20" s="1" t="n">
        <x:f>SUMIFS($E$5:$E$142,$A$5:$A$142,G20,$B$5:$B$142,H20)</x:f>
        <x:v>0</x:v>
      </x:c>
      <x:c r="K20" s="11" t="n">
        <x:f>J20/Conferencia!$B$8</x:f>
        <x:v>0</x:v>
      </x:c>
      <x:c r="L20" s="1"/>
      <x:c r="M20" s="1"/>
      <x:c r="N20" s="1"/>
    </x:row>
    <x:row r="21" ht="21" customHeight="1">
      <x:c r="A21" s="9" t="n">
        <x:v>1</x:v>
      </x:c>
      <x:c r="B21" s="9" t="n">
        <x:v>8</x:v>
      </x:c>
      <x:c r="C21" s="9" t="n">
        <x:v>-2</x:v>
      </x:c>
      <x:c r="D21" s="9" t="str">
        <x:v>2026-04</x:v>
      </x:c>
      <x:c r="E21" s="9" t="n">
        <x:v>117</x:v>
      </x:c>
      <x:c r="F21" s="1"/>
      <x:c r="G21" s="1" t="n">
        <x:v>12</x:v>
      </x:c>
      <x:c r="H21" s="1" t="n">
        <x:v>66</x:v>
      </x:c>
      <x:c r="I21" s="1" t="n">
        <x:f>COUNTIFS($A$5:$A$142,G21,$B$5:$B$142,H21)</x:f>
        <x:v>6</x:v>
      </x:c>
      <x:c r="J21" s="1" t="n">
        <x:f>SUMIFS($E$5:$E$142,$A$5:$A$142,G21,$B$5:$B$142,H21)</x:f>
        <x:v>239</x:v>
      </x:c>
      <x:c r="K21" s="11" t="n">
        <x:f>J21/Conferencia!$B$8</x:f>
        <x:v>39.833333333333336</x:v>
      </x:c>
      <x:c r="L21" s="1"/>
      <x:c r="M21" s="1"/>
      <x:c r="N21" s="1"/>
    </x:row>
    <x:row r="22" ht="21" customHeight="1">
      <x:c r="A22" s="9" t="n">
        <x:v>1</x:v>
      </x:c>
      <x:c r="B22" s="9" t="n">
        <x:v>8</x:v>
      </x:c>
      <x:c r="C22" s="9" t="n">
        <x:v>-1</x:v>
      </x:c>
      <x:c r="D22" s="9" t="str">
        <x:v>2026-05</x:v>
      </x:c>
      <x:c r="E22" s="9" t="n">
        <x:v>105</x:v>
      </x:c>
      <x:c r="F22" s="1"/>
      <x:c r="G22" s="1" t="n">
        <x:v>12</x:v>
      </x:c>
      <x:c r="H22" s="1" t="n">
        <x:v>111</x:v>
      </x:c>
      <x:c r="I22" s="1" t="n">
        <x:f>COUNTIFS($A$5:$A$142,G22,$B$5:$B$142,H22)</x:f>
        <x:v>6</x:v>
      </x:c>
      <x:c r="J22" s="1" t="n">
        <x:f>SUMIFS($E$5:$E$142,$A$5:$A$142,G22,$B$5:$B$142,H22)</x:f>
        <x:v>612</x:v>
      </x:c>
      <x:c r="K22" s="11" t="n">
        <x:f>J22/Conferencia!$B$8</x:f>
        <x:v>102</x:v>
      </x:c>
      <x:c r="L22" s="1"/>
      <x:c r="M22" s="1"/>
      <x:c r="N22" s="1"/>
    </x:row>
    <x:row r="23" ht="21" customHeight="1">
      <x:c r="A23" s="9" t="n">
        <x:v>1</x:v>
      </x:c>
      <x:c r="B23" s="9" t="n">
        <x:v>66</x:v>
      </x:c>
      <x:c r="C23" s="9" t="n">
        <x:v>-6</x:v>
      </x:c>
      <x:c r="D23" s="9" t="str">
        <x:v>2025-12</x:v>
      </x:c>
      <x:c r="E23" s="9" t="n">
        <x:v>93</x:v>
      </x:c>
      <x:c r="F23" s="1"/>
      <x:c r="G23" s="1" t="n">
        <x:v>13</x:v>
      </x:c>
      <x:c r="H23" s="1" t="n">
        <x:v>66</x:v>
      </x:c>
      <x:c r="I23" s="1" t="n">
        <x:f>COUNTIFS($A$5:$A$142,G23,$B$5:$B$142,H23)</x:f>
        <x:v>6</x:v>
      </x:c>
      <x:c r="J23" s="1" t="n">
        <x:f>SUMIFS($E$5:$E$142,$A$5:$A$142,G23,$B$5:$B$142,H23)</x:f>
        <x:v>135</x:v>
      </x:c>
      <x:c r="K23" s="11" t="n">
        <x:f>J23/Conferencia!$B$8</x:f>
        <x:v>22.5</x:v>
      </x:c>
      <x:c r="L23" s="1"/>
      <x:c r="M23" s="1"/>
      <x:c r="N23" s="1"/>
    </x:row>
    <x:row r="24" ht="21" customHeight="1">
      <x:c r="A24" s="9" t="n">
        <x:v>1</x:v>
      </x:c>
      <x:c r="B24" s="9" t="n">
        <x:v>66</x:v>
      </x:c>
      <x:c r="C24" s="9" t="n">
        <x:v>-5</x:v>
      </x:c>
      <x:c r="D24" s="9" t="str">
        <x:v>2026-01</x:v>
      </x:c>
      <x:c r="E24" s="9" t="n">
        <x:v>90</x:v>
      </x:c>
      <x:c r="F24" s="1"/>
      <x:c r="G24" s="1" t="n">
        <x:v>14</x:v>
      </x:c>
      <x:c r="H24" s="1" t="n">
        <x:v>66</x:v>
      </x:c>
      <x:c r="I24" s="1" t="n">
        <x:f>COUNTIFS($A$5:$A$142,G24,$B$5:$B$142,H24)</x:f>
        <x:v>6</x:v>
      </x:c>
      <x:c r="J24" s="1" t="n">
        <x:f>SUMIFS($E$5:$E$142,$A$5:$A$142,G24,$B$5:$B$142,H24)</x:f>
        <x:v>0</x:v>
      </x:c>
      <x:c r="K24" s="11" t="n">
        <x:f>J24/Conferencia!$B$8</x:f>
        <x:v>0</x:v>
      </x:c>
      <x:c r="L24" s="1"/>
      <x:c r="M24" s="1"/>
      <x:c r="N24" s="1"/>
    </x:row>
    <x:row r="25" ht="21" customHeight="1">
      <x:c r="A25" s="9" t="n">
        <x:v>1</x:v>
      </x:c>
      <x:c r="B25" s="9" t="n">
        <x:v>66</x:v>
      </x:c>
      <x:c r="C25" s="9" t="n">
        <x:v>-4</x:v>
      </x:c>
      <x:c r="D25" s="9" t="str">
        <x:v>2026-02</x:v>
      </x:c>
      <x:c r="E25" s="9" t="n">
        <x:v>87</x:v>
      </x:c>
      <x:c r="F25" s="1"/>
      <x:c r="G25" s="1" t="n">
        <x:v>15</x:v>
      </x:c>
      <x:c r="H25" s="1" t="n">
        <x:v>66</x:v>
      </x:c>
      <x:c r="I25" s="1" t="n">
        <x:f>COUNTIFS($A$5:$A$142,G25,$B$5:$B$142,H25)</x:f>
        <x:v>6</x:v>
      </x:c>
      <x:c r="J25" s="1" t="n">
        <x:f>SUMIFS($E$5:$E$142,$A$5:$A$142,G25,$B$5:$B$142,H25)</x:f>
        <x:v>252</x:v>
      </x:c>
      <x:c r="K25" s="11" t="n">
        <x:f>J25/Conferencia!$B$8</x:f>
        <x:v>42</x:v>
      </x:c>
      <x:c r="L25" s="1"/>
      <x:c r="M25" s="1"/>
      <x:c r="N25" s="1"/>
    </x:row>
    <x:row r="26" ht="21" customHeight="1">
      <x:c r="A26" s="9" t="n">
        <x:v>1</x:v>
      </x:c>
      <x:c r="B26" s="9" t="n">
        <x:v>66</x:v>
      </x:c>
      <x:c r="C26" s="9" t="n">
        <x:v>-3</x:v>
      </x:c>
      <x:c r="D26" s="9" t="str">
        <x:v>2026-03</x:v>
      </x:c>
      <x:c r="E26" s="9" t="n">
        <x:v>97</x:v>
      </x:c>
      <x:c r="F26" s="1"/>
      <x:c r="G26" s="1" t="n">
        <x:v>16</x:v>
      </x:c>
      <x:c r="H26" s="1" t="n">
        <x:v>66</x:v>
      </x:c>
      <x:c r="I26" s="1" t="n">
        <x:f>COUNTIFS($A$5:$A$142,G26,$B$5:$B$142,H26)</x:f>
        <x:v>6</x:v>
      </x:c>
      <x:c r="J26" s="1" t="n">
        <x:f>SUMIFS($E$5:$E$142,$A$5:$A$142,G26,$B$5:$B$142,H26)</x:f>
        <x:v>305</x:v>
      </x:c>
      <x:c r="K26" s="11" t="n">
        <x:f>J26/Conferencia!$B$8</x:f>
        <x:v>50.833333333333336</x:v>
      </x:c>
      <x:c r="L26" s="1"/>
      <x:c r="M26" s="1"/>
      <x:c r="N26" s="1"/>
    </x:row>
    <x:row r="27" ht="21" customHeight="1">
      <x:c r="A27" s="9" t="n">
        <x:v>1</x:v>
      </x:c>
      <x:c r="B27" s="9" t="n">
        <x:v>66</x:v>
      </x:c>
      <x:c r="C27" s="9" t="n">
        <x:v>-2</x:v>
      </x:c>
      <x:c r="D27" s="9" t="str">
        <x:v>2026-04</x:v>
      </x:c>
      <x:c r="E27" s="9" t="n">
        <x:v>100</x:v>
      </x:c>
      <x:c r="F27" s="1"/>
      <x:c r="G27" s="1" t="n">
        <x:v>17</x:v>
      </x:c>
      <x:c r="H27" s="1" t="n">
        <x:v>66</x:v>
      </x:c>
      <x:c r="I27" s="1" t="n">
        <x:f>COUNTIFS($A$5:$A$142,G27,$B$5:$B$142,H27)</x:f>
        <x:v>6</x:v>
      </x:c>
      <x:c r="J27" s="1" t="n">
        <x:f>SUMIFS($E$5:$E$142,$A$5:$A$142,G27,$B$5:$B$142,H27)</x:f>
        <x:v>0</x:v>
      </x:c>
      <x:c r="K27" s="11" t="n">
        <x:f>J27/Conferencia!$B$8</x:f>
        <x:v>0</x:v>
      </x:c>
      <x:c r="L27" s="1"/>
      <x:c r="M27" s="1"/>
      <x:c r="N27" s="1"/>
    </x:row>
    <x:row r="28" ht="21" customHeight="1">
      <x:c r="A28" s="9" t="n">
        <x:v>1</x:v>
      </x:c>
      <x:c r="B28" s="9" t="n">
        <x:v>66</x:v>
      </x:c>
      <x:c r="C28" s="9" t="n">
        <x:v>-1</x:v>
      </x:c>
      <x:c r="D28" s="9" t="str">
        <x:v>2026-05</x:v>
      </x:c>
      <x:c r="E28" s="9" t="n">
        <x:v>80</x:v>
      </x:c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1" customHeight="1">
      <x:c r="A29" s="9" t="n">
        <x:v>1</x:v>
      </x:c>
      <x:c r="B29" s="9" t="n">
        <x:v>97</x:v>
      </x:c>
      <x:c r="C29" s="9" t="n">
        <x:v>-6</x:v>
      </x:c>
      <x:c r="D29" s="9" t="str">
        <x:v>2025-12</x:v>
      </x:c>
      <x:c r="E29" s="9" t="n">
        <x:v>38</x:v>
      </x:c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1" customHeight="1">
      <x:c r="A30" s="9" t="n">
        <x:v>1</x:v>
      </x:c>
      <x:c r="B30" s="9" t="n">
        <x:v>97</x:v>
      </x:c>
      <x:c r="C30" s="9" t="n">
        <x:v>-5</x:v>
      </x:c>
      <x:c r="D30" s="9" t="str">
        <x:v>2026-01</x:v>
      </x:c>
      <x:c r="E30" s="9" t="n">
        <x:v>46</x:v>
      </x:c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1" customHeight="1">
      <x:c r="A31" s="9" t="n">
        <x:v>1</x:v>
      </x:c>
      <x:c r="B31" s="9" t="n">
        <x:v>97</x:v>
      </x:c>
      <x:c r="C31" s="9" t="n">
        <x:v>-4</x:v>
      </x:c>
      <x:c r="D31" s="9" t="str">
        <x:v>2026-02</x:v>
      </x:c>
      <x:c r="E31" s="9" t="n">
        <x:v>49</x:v>
      </x:c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1" customHeight="1">
      <x:c r="A32" s="9" t="n">
        <x:v>1</x:v>
      </x:c>
      <x:c r="B32" s="9" t="n">
        <x:v>97</x:v>
      </x:c>
      <x:c r="C32" s="9" t="n">
        <x:v>-3</x:v>
      </x:c>
      <x:c r="D32" s="9" t="str">
        <x:v>2026-03</x:v>
      </x:c>
      <x:c r="E32" s="9" t="n">
        <x:v>34</x:v>
      </x:c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1" customHeight="1">
      <x:c r="A33" s="9" t="n">
        <x:v>1</x:v>
      </x:c>
      <x:c r="B33" s="9" t="n">
        <x:v>97</x:v>
      </x:c>
      <x:c r="C33" s="9" t="n">
        <x:v>-2</x:v>
      </x:c>
      <x:c r="D33" s="9" t="str">
        <x:v>2026-04</x:v>
      </x:c>
      <x:c r="E33" s="9" t="n">
        <x:v>31</x:v>
      </x:c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1" customHeight="1">
      <x:c r="A34" s="9" t="n">
        <x:v>1</x:v>
      </x:c>
      <x:c r="B34" s="9" t="n">
        <x:v>97</x:v>
      </x:c>
      <x:c r="C34" s="9" t="n">
        <x:v>-1</x:v>
      </x:c>
      <x:c r="D34" s="9" t="str">
        <x:v>2026-05</x:v>
      </x:c>
      <x:c r="E34" s="9" t="n">
        <x:v>44</x:v>
      </x:c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1" customHeight="1">
      <x:c r="A35" s="9" t="n">
        <x:v>2</x:v>
      </x:c>
      <x:c r="B35" s="9" t="n">
        <x:v>66</x:v>
      </x:c>
      <x:c r="C35" s="9" t="n">
        <x:v>-6</x:v>
      </x:c>
      <x:c r="D35" s="9" t="str">
        <x:v>2025-12</x:v>
      </x:c>
      <x:c r="E35" s="9" t="n">
        <x:v>104</x:v>
      </x:c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9" t="n">
        <x:v>2</x:v>
      </x:c>
      <x:c r="B36" s="9" t="n">
        <x:v>66</x:v>
      </x:c>
      <x:c r="C36" s="9" t="n">
        <x:v>-5</x:v>
      </x:c>
      <x:c r="D36" s="9" t="str">
        <x:v>2026-01</x:v>
      </x:c>
      <x:c r="E36" s="9" t="n">
        <x:v>79</x:v>
      </x:c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9" t="n">
        <x:v>2</x:v>
      </x:c>
      <x:c r="B37" s="9" t="n">
        <x:v>66</x:v>
      </x:c>
      <x:c r="C37" s="9" t="n">
        <x:v>-4</x:v>
      </x:c>
      <x:c r="D37" s="9" t="str">
        <x:v>2026-02</x:v>
      </x:c>
      <x:c r="E37" s="9" t="n">
        <x:v>76</x:v>
      </x:c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9" t="n">
        <x:v>2</x:v>
      </x:c>
      <x:c r="B38" s="9" t="n">
        <x:v>66</x:v>
      </x:c>
      <x:c r="C38" s="9" t="n">
        <x:v>-3</x:v>
      </x:c>
      <x:c r="D38" s="9" t="str">
        <x:v>2026-03</x:v>
      </x:c>
      <x:c r="E38" s="9" t="n">
        <x:v>79</x:v>
      </x:c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9" t="n">
        <x:v>2</x:v>
      </x:c>
      <x:c r="B39" s="9" t="n">
        <x:v>66</x:v>
      </x:c>
      <x:c r="C39" s="9" t="n">
        <x:v>-2</x:v>
      </x:c>
      <x:c r="D39" s="9" t="str">
        <x:v>2026-04</x:v>
      </x:c>
      <x:c r="E39" s="9" t="n">
        <x:v>75</x:v>
      </x:c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9" t="n">
        <x:v>2</x:v>
      </x:c>
      <x:c r="B40" s="9" t="n">
        <x:v>66</x:v>
      </x:c>
      <x:c r="C40" s="9" t="n">
        <x:v>-1</x:v>
      </x:c>
      <x:c r="D40" s="9" t="str">
        <x:v>2026-05</x:v>
      </x:c>
      <x:c r="E40" s="9" t="n">
        <x:v>81</x:v>
      </x:c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1" customHeight="1">
      <x:c r="A41" s="9" t="n">
        <x:v>3</x:v>
      </x:c>
      <x:c r="B41" s="9" t="n">
        <x:v>5</x:v>
      </x:c>
      <x:c r="C41" s="9" t="n">
        <x:v>-6</x:v>
      </x:c>
      <x:c r="D41" s="9" t="str">
        <x:v>2025-12</x:v>
      </x:c>
      <x:c r="E41" s="9" t="n">
        <x:v>11</x:v>
      </x:c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9" t="n">
        <x:v>3</x:v>
      </x:c>
      <x:c r="B42" s="9" t="n">
        <x:v>5</x:v>
      </x:c>
      <x:c r="C42" s="9" t="n">
        <x:v>-5</x:v>
      </x:c>
      <x:c r="D42" s="9" t="str">
        <x:v>2026-01</x:v>
      </x:c>
      <x:c r="E42" s="9" t="n">
        <x:v>13</x:v>
      </x:c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1" customHeight="1">
      <x:c r="A43" s="9" t="n">
        <x:v>3</x:v>
      </x:c>
      <x:c r="B43" s="9" t="n">
        <x:v>5</x:v>
      </x:c>
      <x:c r="C43" s="9" t="n">
        <x:v>-4</x:v>
      </x:c>
      <x:c r="D43" s="9" t="str">
        <x:v>2026-02</x:v>
      </x:c>
      <x:c r="E43" s="9" t="n">
        <x:v>9</x:v>
      </x:c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1" customHeight="1">
      <x:c r="A44" s="9" t="n">
        <x:v>3</x:v>
      </x:c>
      <x:c r="B44" s="9" t="n">
        <x:v>5</x:v>
      </x:c>
      <x:c r="C44" s="9" t="n">
        <x:v>-3</x:v>
      </x:c>
      <x:c r="D44" s="9" t="str">
        <x:v>2026-03</x:v>
      </x:c>
      <x:c r="E44" s="9" t="n">
        <x:v>14</x:v>
      </x:c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1" customHeight="1">
      <x:c r="A45" s="9" t="n">
        <x:v>3</x:v>
      </x:c>
      <x:c r="B45" s="9" t="n">
        <x:v>5</x:v>
      </x:c>
      <x:c r="C45" s="9" t="n">
        <x:v>-2</x:v>
      </x:c>
      <x:c r="D45" s="9" t="str">
        <x:v>2026-04</x:v>
      </x:c>
      <x:c r="E45" s="9" t="n">
        <x:v>10</x:v>
      </x:c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1" customHeight="1">
      <x:c r="A46" s="9" t="n">
        <x:v>3</x:v>
      </x:c>
      <x:c r="B46" s="9" t="n">
        <x:v>5</x:v>
      </x:c>
      <x:c r="C46" s="9" t="n">
        <x:v>-1</x:v>
      </x:c>
      <x:c r="D46" s="9" t="str">
        <x:v>2026-05</x:v>
      </x:c>
      <x:c r="E46" s="9" t="n">
        <x:v>14</x:v>
      </x:c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1" customHeight="1">
      <x:c r="A47" s="9" t="n">
        <x:v>3</x:v>
      </x:c>
      <x:c r="B47" s="9" t="n">
        <x:v>66</x:v>
      </x:c>
      <x:c r="C47" s="9" t="n">
        <x:v>-6</x:v>
      </x:c>
      <x:c r="D47" s="9" t="str">
        <x:v>2025-12</x:v>
      </x:c>
      <x:c r="E47" s="9" t="n">
        <x:v>76</x:v>
      </x:c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1" customHeight="1">
      <x:c r="A48" s="9" t="n">
        <x:v>3</x:v>
      </x:c>
      <x:c r="B48" s="9" t="n">
        <x:v>66</x:v>
      </x:c>
      <x:c r="C48" s="9" t="n">
        <x:v>-5</x:v>
      </x:c>
      <x:c r="D48" s="9" t="str">
        <x:v>2026-01</x:v>
      </x:c>
      <x:c r="E48" s="9" t="n">
        <x:v>98</x:v>
      </x:c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1" customHeight="1">
      <x:c r="A49" s="9" t="n">
        <x:v>3</x:v>
      </x:c>
      <x:c r="B49" s="9" t="n">
        <x:v>66</x:v>
      </x:c>
      <x:c r="C49" s="9" t="n">
        <x:v>-4</x:v>
      </x:c>
      <x:c r="D49" s="9" t="str">
        <x:v>2026-02</x:v>
      </x:c>
      <x:c r="E49" s="9" t="n">
        <x:v>77</x:v>
      </x:c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1" customHeight="1">
      <x:c r="A50" s="9" t="n">
        <x:v>3</x:v>
      </x:c>
      <x:c r="B50" s="9" t="n">
        <x:v>66</x:v>
      </x:c>
      <x:c r="C50" s="9" t="n">
        <x:v>-3</x:v>
      </x:c>
      <x:c r="D50" s="9" t="str">
        <x:v>2026-03</x:v>
      </x:c>
      <x:c r="E50" s="9" t="n">
        <x:v>76</x:v>
      </x:c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1" customHeight="1">
      <x:c r="A51" s="9" t="n">
        <x:v>3</x:v>
      </x:c>
      <x:c r="B51" s="9" t="n">
        <x:v>66</x:v>
      </x:c>
      <x:c r="C51" s="9" t="n">
        <x:v>-2</x:v>
      </x:c>
      <x:c r="D51" s="9" t="str">
        <x:v>2026-04</x:v>
      </x:c>
      <x:c r="E51" s="9" t="n">
        <x:v>77</x:v>
      </x:c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1" customHeight="1">
      <x:c r="A52" s="9" t="n">
        <x:v>3</x:v>
      </x:c>
      <x:c r="B52" s="9" t="n">
        <x:v>66</x:v>
      </x:c>
      <x:c r="C52" s="9" t="n">
        <x:v>-1</x:v>
      </x:c>
      <x:c r="D52" s="9" t="str">
        <x:v>2026-05</x:v>
      </x:c>
      <x:c r="E52" s="9" t="n">
        <x:v>86</x:v>
      </x:c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1" customHeight="1">
      <x:c r="A53" s="9" t="n">
        <x:v>4</x:v>
      </x:c>
      <x:c r="B53" s="9" t="n">
        <x:v>66</x:v>
      </x:c>
      <x:c r="C53" s="9" t="n">
        <x:v>-6</x:v>
      </x:c>
      <x:c r="D53" s="9" t="str">
        <x:v>2025-12</x:v>
      </x:c>
      <x:c r="E53" s="9" t="n">
        <x:v>72</x:v>
      </x:c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1" customHeight="1">
      <x:c r="A54" s="9" t="n">
        <x:v>4</x:v>
      </x:c>
      <x:c r="B54" s="9" t="n">
        <x:v>66</x:v>
      </x:c>
      <x:c r="C54" s="9" t="n">
        <x:v>-5</x:v>
      </x:c>
      <x:c r="D54" s="9" t="str">
        <x:v>2026-01</x:v>
      </x:c>
      <x:c r="E54" s="9" t="n">
        <x:v>75</x:v>
      </x:c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1" customHeight="1">
      <x:c r="A55" s="9" t="n">
        <x:v>4</x:v>
      </x:c>
      <x:c r="B55" s="9" t="n">
        <x:v>66</x:v>
      </x:c>
      <x:c r="C55" s="9" t="n">
        <x:v>-4</x:v>
      </x:c>
      <x:c r="D55" s="9" t="str">
        <x:v>2026-02</x:v>
      </x:c>
      <x:c r="E55" s="9" t="n">
        <x:v>119</x:v>
      </x:c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1" customHeight="1">
      <x:c r="A56" s="9" t="n">
        <x:v>4</x:v>
      </x:c>
      <x:c r="B56" s="9" t="n">
        <x:v>66</x:v>
      </x:c>
      <x:c r="C56" s="9" t="n">
        <x:v>-3</x:v>
      </x:c>
      <x:c r="D56" s="9" t="str">
        <x:v>2026-03</x:v>
      </x:c>
      <x:c r="E56" s="9" t="n">
        <x:v>110</x:v>
      </x:c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1" customHeight="1">
      <x:c r="A57" s="9" t="n">
        <x:v>4</x:v>
      </x:c>
      <x:c r="B57" s="9" t="n">
        <x:v>66</x:v>
      </x:c>
      <x:c r="C57" s="9" t="n">
        <x:v>-2</x:v>
      </x:c>
      <x:c r="D57" s="9" t="str">
        <x:v>2026-04</x:v>
      </x:c>
      <x:c r="E57" s="9" t="n">
        <x:v>81</x:v>
      </x:c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1" customHeight="1">
      <x:c r="A58" s="9" t="n">
        <x:v>4</x:v>
      </x:c>
      <x:c r="B58" s="9" t="n">
        <x:v>66</x:v>
      </x:c>
      <x:c r="C58" s="9" t="n">
        <x:v>-1</x:v>
      </x:c>
      <x:c r="D58" s="9" t="str">
        <x:v>2026-05</x:v>
      </x:c>
      <x:c r="E58" s="9" t="n">
        <x:v>88</x:v>
      </x:c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1" customHeight="1">
      <x:c r="A59" s="9" t="n">
        <x:v>5</x:v>
      </x:c>
      <x:c r="B59" s="9" t="n">
        <x:v>66</x:v>
      </x:c>
      <x:c r="C59" s="9" t="n">
        <x:v>-6</x:v>
      </x:c>
      <x:c r="D59" s="9" t="str">
        <x:v>2025-12</x:v>
      </x:c>
      <x:c r="E59" s="9" t="n">
        <x:v>28</x:v>
      </x:c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9" t="n">
        <x:v>5</x:v>
      </x:c>
      <x:c r="B60" s="9" t="n">
        <x:v>66</x:v>
      </x:c>
      <x:c r="C60" s="9" t="n">
        <x:v>-5</x:v>
      </x:c>
      <x:c r="D60" s="9" t="str">
        <x:v>2026-01</x:v>
      </x:c>
      <x:c r="E60" s="9" t="n">
        <x:v>32</x:v>
      </x:c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1" customHeight="1">
      <x:c r="A61" s="9" t="n">
        <x:v>5</x:v>
      </x:c>
      <x:c r="B61" s="9" t="n">
        <x:v>66</x:v>
      </x:c>
      <x:c r="C61" s="9" t="n">
        <x:v>-4</x:v>
      </x:c>
      <x:c r="D61" s="9" t="str">
        <x:v>2026-02</x:v>
      </x:c>
      <x:c r="E61" s="9" t="n">
        <x:v>39</x:v>
      </x:c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1" customHeight="1">
      <x:c r="A62" s="9" t="n">
        <x:v>5</x:v>
      </x:c>
      <x:c r="B62" s="9" t="n">
        <x:v>66</x:v>
      </x:c>
      <x:c r="C62" s="9" t="n">
        <x:v>-3</x:v>
      </x:c>
      <x:c r="D62" s="9" t="str">
        <x:v>2026-03</x:v>
      </x:c>
      <x:c r="E62" s="9" t="n">
        <x:v>28</x:v>
      </x:c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1" customHeight="1">
      <x:c r="A63" s="9" t="n">
        <x:v>5</x:v>
      </x:c>
      <x:c r="B63" s="9" t="n">
        <x:v>66</x:v>
      </x:c>
      <x:c r="C63" s="9" t="n">
        <x:v>-2</x:v>
      </x:c>
      <x:c r="D63" s="9" t="str">
        <x:v>2026-04</x:v>
      </x:c>
      <x:c r="E63" s="9" t="n">
        <x:v>37</x:v>
      </x:c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1" customHeight="1">
      <x:c r="A64" s="9" t="n">
        <x:v>5</x:v>
      </x:c>
      <x:c r="B64" s="9" t="n">
        <x:v>66</x:v>
      </x:c>
      <x:c r="C64" s="9" t="n">
        <x:v>-1</x:v>
      </x:c>
      <x:c r="D64" s="9" t="str">
        <x:v>2026-05</x:v>
      </x:c>
      <x:c r="E64" s="9" t="n">
        <x:v>37</x:v>
      </x:c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1" customHeight="1">
      <x:c r="A65" s="9" t="n">
        <x:v>6</x:v>
      </x:c>
      <x:c r="B65" s="9" t="n">
        <x:v>66</x:v>
      </x:c>
      <x:c r="C65" s="9" t="n">
        <x:v>-6</x:v>
      </x:c>
      <x:c r="D65" s="9" t="str">
        <x:v>2025-12</x:v>
      </x:c>
      <x:c r="E65" s="9" t="n">
        <x:v>98</x:v>
      </x:c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1" customHeight="1">
      <x:c r="A66" s="9" t="n">
        <x:v>6</x:v>
      </x:c>
      <x:c r="B66" s="9" t="n">
        <x:v>66</x:v>
      </x:c>
      <x:c r="C66" s="9" t="n">
        <x:v>-5</x:v>
      </x:c>
      <x:c r="D66" s="9" t="str">
        <x:v>2026-01</x:v>
      </x:c>
      <x:c r="E66" s="9" t="n">
        <x:v>134</x:v>
      </x:c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1" customHeight="1">
      <x:c r="A67" s="9" t="n">
        <x:v>6</x:v>
      </x:c>
      <x:c r="B67" s="9" t="n">
        <x:v>66</x:v>
      </x:c>
      <x:c r="C67" s="9" t="n">
        <x:v>-4</x:v>
      </x:c>
      <x:c r="D67" s="9" t="str">
        <x:v>2026-02</x:v>
      </x:c>
      <x:c r="E67" s="9" t="n">
        <x:v>102</x:v>
      </x:c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1" customHeight="1">
      <x:c r="A68" s="9" t="n">
        <x:v>6</x:v>
      </x:c>
      <x:c r="B68" s="9" t="n">
        <x:v>66</x:v>
      </x:c>
      <x:c r="C68" s="9" t="n">
        <x:v>-3</x:v>
      </x:c>
      <x:c r="D68" s="9" t="str">
        <x:v>2026-03</x:v>
      </x:c>
      <x:c r="E68" s="9" t="n">
        <x:v>139</x:v>
      </x:c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1" customHeight="1">
      <x:c r="A69" s="9" t="n">
        <x:v>6</x:v>
      </x:c>
      <x:c r="B69" s="9" t="n">
        <x:v>66</x:v>
      </x:c>
      <x:c r="C69" s="9" t="n">
        <x:v>-2</x:v>
      </x:c>
      <x:c r="D69" s="9" t="str">
        <x:v>2026-04</x:v>
      </x:c>
      <x:c r="E69" s="9" t="n">
        <x:v>113</x:v>
      </x:c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1" customHeight="1">
      <x:c r="A70" s="9" t="n">
        <x:v>6</x:v>
      </x:c>
      <x:c r="B70" s="9" t="n">
        <x:v>66</x:v>
      </x:c>
      <x:c r="C70" s="9" t="n">
        <x:v>-1</x:v>
      </x:c>
      <x:c r="D70" s="9" t="str">
        <x:v>2026-05</x:v>
      </x:c>
      <x:c r="E70" s="9" t="n">
        <x:v>140</x:v>
      </x:c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1" customHeight="1">
      <x:c r="A71" s="9" t="n">
        <x:v>7</x:v>
      </x:c>
      <x:c r="B71" s="9" t="n">
        <x:v>66</x:v>
      </x:c>
      <x:c r="C71" s="9" t="n">
        <x:v>-6</x:v>
      </x:c>
      <x:c r="D71" s="9" t="str">
        <x:v>2025-12</x:v>
      </x:c>
      <x:c r="E71" s="9" t="n">
        <x:v>42</x:v>
      </x:c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1" customHeight="1">
      <x:c r="A72" s="9" t="n">
        <x:v>7</x:v>
      </x:c>
      <x:c r="B72" s="9" t="n">
        <x:v>66</x:v>
      </x:c>
      <x:c r="C72" s="9" t="n">
        <x:v>-5</x:v>
      </x:c>
      <x:c r="D72" s="9" t="str">
        <x:v>2026-01</x:v>
      </x:c>
      <x:c r="E72" s="9" t="n">
        <x:v>39</x:v>
      </x:c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1" customHeight="1">
      <x:c r="A73" s="9" t="n">
        <x:v>7</x:v>
      </x:c>
      <x:c r="B73" s="9" t="n">
        <x:v>66</x:v>
      </x:c>
      <x:c r="C73" s="9" t="n">
        <x:v>-4</x:v>
      </x:c>
      <x:c r="D73" s="9" t="str">
        <x:v>2026-02</x:v>
      </x:c>
      <x:c r="E73" s="9" t="n">
        <x:v>31</x:v>
      </x:c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1" customHeight="1">
      <x:c r="A74" s="9" t="n">
        <x:v>7</x:v>
      </x:c>
      <x:c r="B74" s="9" t="n">
        <x:v>66</x:v>
      </x:c>
      <x:c r="C74" s="9" t="n">
        <x:v>-3</x:v>
      </x:c>
      <x:c r="D74" s="9" t="str">
        <x:v>2026-03</x:v>
      </x:c>
      <x:c r="E74" s="9" t="n">
        <x:v>32</x:v>
      </x:c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1" customHeight="1">
      <x:c r="A75" s="9" t="n">
        <x:v>7</x:v>
      </x:c>
      <x:c r="B75" s="9" t="n">
        <x:v>66</x:v>
      </x:c>
      <x:c r="C75" s="9" t="n">
        <x:v>-2</x:v>
      </x:c>
      <x:c r="D75" s="9" t="str">
        <x:v>2026-04</x:v>
      </x:c>
      <x:c r="E75" s="9" t="n">
        <x:v>43</x:v>
      </x:c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1" customHeight="1">
      <x:c r="A76" s="9" t="n">
        <x:v>7</x:v>
      </x:c>
      <x:c r="B76" s="9" t="n">
        <x:v>66</x:v>
      </x:c>
      <x:c r="C76" s="9" t="n">
        <x:v>-1</x:v>
      </x:c>
      <x:c r="D76" s="9" t="str">
        <x:v>2026-05</x:v>
      </x:c>
      <x:c r="E76" s="9" t="n">
        <x:v>43</x:v>
      </x:c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1" customHeight="1">
      <x:c r="A77" s="9" t="n">
        <x:v>8</x:v>
      </x:c>
      <x:c r="B77" s="9" t="n">
        <x:v>66</x:v>
      </x:c>
      <x:c r="C77" s="9" t="n">
        <x:v>-6</x:v>
      </x:c>
      <x:c r="D77" s="9" t="str">
        <x:v>2025-12</x:v>
      </x:c>
      <x:c r="E77" s="9" t="n">
        <x:v>58</x:v>
      </x:c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1" customHeight="1">
      <x:c r="A78" s="9" t="n">
        <x:v>8</x:v>
      </x:c>
      <x:c r="B78" s="9" t="n">
        <x:v>66</x:v>
      </x:c>
      <x:c r="C78" s="9" t="n">
        <x:v>-5</x:v>
      </x:c>
      <x:c r="D78" s="9" t="str">
        <x:v>2026-01</x:v>
      </x:c>
      <x:c r="E78" s="9" t="n">
        <x:v>73</x:v>
      </x:c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1" customHeight="1">
      <x:c r="A79" s="9" t="n">
        <x:v>8</x:v>
      </x:c>
      <x:c r="B79" s="9" t="n">
        <x:v>66</x:v>
      </x:c>
      <x:c r="C79" s="9" t="n">
        <x:v>-4</x:v>
      </x:c>
      <x:c r="D79" s="9" t="str">
        <x:v>2026-02</x:v>
      </x:c>
      <x:c r="E79" s="9" t="n">
        <x:v>84</x:v>
      </x:c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1" customHeight="1">
      <x:c r="A80" s="9" t="n">
        <x:v>8</x:v>
      </x:c>
      <x:c r="B80" s="9" t="n">
        <x:v>66</x:v>
      </x:c>
      <x:c r="C80" s="9" t="n">
        <x:v>-3</x:v>
      </x:c>
      <x:c r="D80" s="9" t="str">
        <x:v>2026-03</x:v>
      </x:c>
      <x:c r="E80" s="9" t="n">
        <x:v>82</x:v>
      </x:c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1" customHeight="1">
      <x:c r="A81" s="9" t="n">
        <x:v>8</x:v>
      </x:c>
      <x:c r="B81" s="9" t="n">
        <x:v>66</x:v>
      </x:c>
      <x:c r="C81" s="9" t="n">
        <x:v>-2</x:v>
      </x:c>
      <x:c r="D81" s="9" t="str">
        <x:v>2026-04</x:v>
      </x:c>
      <x:c r="E81" s="9" t="n">
        <x:v>66</x:v>
      </x:c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1" customHeight="1">
      <x:c r="A82" s="9" t="n">
        <x:v>8</x:v>
      </x:c>
      <x:c r="B82" s="9" t="n">
        <x:v>66</x:v>
      </x:c>
      <x:c r="C82" s="9" t="n">
        <x:v>-1</x:v>
      </x:c>
      <x:c r="D82" s="9" t="str">
        <x:v>2026-05</x:v>
      </x:c>
      <x:c r="E82" s="9" t="n">
        <x:v>83</x:v>
      </x:c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1" customHeight="1">
      <x:c r="A83" s="9" t="n">
        <x:v>9</x:v>
      </x:c>
      <x:c r="B83" s="9" t="n">
        <x:v>66</x:v>
      </x:c>
      <x:c r="C83" s="9" t="n">
        <x:v>-6</x:v>
      </x:c>
      <x:c r="D83" s="9" t="str">
        <x:v>2025-12</x:v>
      </x:c>
      <x:c r="E83" s="9" t="n">
        <x:v>0</x:v>
      </x:c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1" customHeight="1">
      <x:c r="A84" s="9" t="n">
        <x:v>9</x:v>
      </x:c>
      <x:c r="B84" s="9" t="n">
        <x:v>66</x:v>
      </x:c>
      <x:c r="C84" s="9" t="n">
        <x:v>-5</x:v>
      </x:c>
      <x:c r="D84" s="9" t="str">
        <x:v>2026-01</x:v>
      </x:c>
      <x:c r="E84" s="9" t="n">
        <x:v>0</x:v>
      </x:c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1" customHeight="1">
      <x:c r="A85" s="9" t="n">
        <x:v>9</x:v>
      </x:c>
      <x:c r="B85" s="9" t="n">
        <x:v>66</x:v>
      </x:c>
      <x:c r="C85" s="9" t="n">
        <x:v>-4</x:v>
      </x:c>
      <x:c r="D85" s="9" t="str">
        <x:v>2026-02</x:v>
      </x:c>
      <x:c r="E85" s="9" t="n">
        <x:v>0</x:v>
      </x:c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1" customHeight="1">
      <x:c r="A86" s="9" t="n">
        <x:v>9</x:v>
      </x:c>
      <x:c r="B86" s="9" t="n">
        <x:v>66</x:v>
      </x:c>
      <x:c r="C86" s="9" t="n">
        <x:v>-3</x:v>
      </x:c>
      <x:c r="D86" s="9" t="str">
        <x:v>2026-03</x:v>
      </x:c>
      <x:c r="E86" s="9" t="n">
        <x:v>0</x:v>
      </x:c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1" customHeight="1">
      <x:c r="A87" s="9" t="n">
        <x:v>9</x:v>
      </x:c>
      <x:c r="B87" s="9" t="n">
        <x:v>66</x:v>
      </x:c>
      <x:c r="C87" s="9" t="n">
        <x:v>-2</x:v>
      </x:c>
      <x:c r="D87" s="9" t="str">
        <x:v>2026-04</x:v>
      </x:c>
      <x:c r="E87" s="9" t="n">
        <x:v>0</x:v>
      </x:c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1" customHeight="1">
      <x:c r="A88" s="9" t="n">
        <x:v>9</x:v>
      </x:c>
      <x:c r="B88" s="9" t="n">
        <x:v>66</x:v>
      </x:c>
      <x:c r="C88" s="9" t="n">
        <x:v>-1</x:v>
      </x:c>
      <x:c r="D88" s="9" t="str">
        <x:v>2026-05</x:v>
      </x:c>
      <x:c r="E88" s="9" t="n">
        <x:v>0</x:v>
      </x:c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1" customHeight="1">
      <x:c r="A89" s="9" t="n">
        <x:v>10</x:v>
      </x:c>
      <x:c r="B89" s="9" t="n">
        <x:v>66</x:v>
      </x:c>
      <x:c r="C89" s="9" t="n">
        <x:v>-6</x:v>
      </x:c>
      <x:c r="D89" s="9" t="str">
        <x:v>2025-12</x:v>
      </x:c>
      <x:c r="E89" s="9" t="n">
        <x:v>35</x:v>
      </x:c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1" customHeight="1">
      <x:c r="A90" s="9" t="n">
        <x:v>10</x:v>
      </x:c>
      <x:c r="B90" s="9" t="n">
        <x:v>66</x:v>
      </x:c>
      <x:c r="C90" s="9" t="n">
        <x:v>-5</x:v>
      </x:c>
      <x:c r="D90" s="9" t="str">
        <x:v>2026-01</x:v>
      </x:c>
      <x:c r="E90" s="9" t="n">
        <x:v>40</x:v>
      </x:c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1" customHeight="1">
      <x:c r="A91" s="9" t="n">
        <x:v>10</x:v>
      </x:c>
      <x:c r="B91" s="9" t="n">
        <x:v>66</x:v>
      </x:c>
      <x:c r="C91" s="9" t="n">
        <x:v>-4</x:v>
      </x:c>
      <x:c r="D91" s="9" t="str">
        <x:v>2026-02</x:v>
      </x:c>
      <x:c r="E91" s="9" t="n">
        <x:v>39</x:v>
      </x:c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1" customHeight="1">
      <x:c r="A92" s="9" t="n">
        <x:v>10</x:v>
      </x:c>
      <x:c r="B92" s="9" t="n">
        <x:v>66</x:v>
      </x:c>
      <x:c r="C92" s="9" t="n">
        <x:v>-3</x:v>
      </x:c>
      <x:c r="D92" s="9" t="str">
        <x:v>2026-03</x:v>
      </x:c>
      <x:c r="E92" s="9" t="n">
        <x:v>43</x:v>
      </x:c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1" customHeight="1">
      <x:c r="A93" s="9" t="n">
        <x:v>10</x:v>
      </x:c>
      <x:c r="B93" s="9" t="n">
        <x:v>66</x:v>
      </x:c>
      <x:c r="C93" s="9" t="n">
        <x:v>-2</x:v>
      </x:c>
      <x:c r="D93" s="9" t="str">
        <x:v>2026-04</x:v>
      </x:c>
      <x:c r="E93" s="9" t="n">
        <x:v>44</x:v>
      </x:c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1" customHeight="1">
      <x:c r="A94" s="9" t="n">
        <x:v>10</x:v>
      </x:c>
      <x:c r="B94" s="9" t="n">
        <x:v>66</x:v>
      </x:c>
      <x:c r="C94" s="9" t="n">
        <x:v>-1</x:v>
      </x:c>
      <x:c r="D94" s="9" t="str">
        <x:v>2026-05</x:v>
      </x:c>
      <x:c r="E94" s="9" t="n">
        <x:v>39</x:v>
      </x:c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1" customHeight="1">
      <x:c r="A95" s="9" t="n">
        <x:v>11</x:v>
      </x:c>
      <x:c r="B95" s="9" t="n">
        <x:v>66</x:v>
      </x:c>
      <x:c r="C95" s="9" t="n">
        <x:v>-6</x:v>
      </x:c>
      <x:c r="D95" s="9" t="str">
        <x:v>2025-12</x:v>
      </x:c>
      <x:c r="E95" s="9" t="n">
        <x:v>0</x:v>
      </x:c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1" customHeight="1">
      <x:c r="A96" s="9" t="n">
        <x:v>11</x:v>
      </x:c>
      <x:c r="B96" s="9" t="n">
        <x:v>66</x:v>
      </x:c>
      <x:c r="C96" s="9" t="n">
        <x:v>-5</x:v>
      </x:c>
      <x:c r="D96" s="9" t="str">
        <x:v>2026-01</x:v>
      </x:c>
      <x:c r="E96" s="9" t="n">
        <x:v>0</x:v>
      </x:c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1" customHeight="1">
      <x:c r="A97" s="9" t="n">
        <x:v>11</x:v>
      </x:c>
      <x:c r="B97" s="9" t="n">
        <x:v>66</x:v>
      </x:c>
      <x:c r="C97" s="9" t="n">
        <x:v>-4</x:v>
      </x:c>
      <x:c r="D97" s="9" t="str">
        <x:v>2026-02</x:v>
      </x:c>
      <x:c r="E97" s="9" t="n">
        <x:v>0</x:v>
      </x:c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1" customHeight="1">
      <x:c r="A98" s="9" t="n">
        <x:v>11</x:v>
      </x:c>
      <x:c r="B98" s="9" t="n">
        <x:v>66</x:v>
      </x:c>
      <x:c r="C98" s="9" t="n">
        <x:v>-3</x:v>
      </x:c>
      <x:c r="D98" s="9" t="str">
        <x:v>2026-03</x:v>
      </x:c>
      <x:c r="E98" s="9" t="n">
        <x:v>0</x:v>
      </x:c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1" customHeight="1">
      <x:c r="A99" s="9" t="n">
        <x:v>11</x:v>
      </x:c>
      <x:c r="B99" s="9" t="n">
        <x:v>66</x:v>
      </x:c>
      <x:c r="C99" s="9" t="n">
        <x:v>-2</x:v>
      </x:c>
      <x:c r="D99" s="9" t="str">
        <x:v>2026-04</x:v>
      </x:c>
      <x:c r="E99" s="9" t="n">
        <x:v>0</x:v>
      </x:c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1" customHeight="1">
      <x:c r="A100" s="9" t="n">
        <x:v>11</x:v>
      </x:c>
      <x:c r="B100" s="9" t="n">
        <x:v>66</x:v>
      </x:c>
      <x:c r="C100" s="9" t="n">
        <x:v>-1</x:v>
      </x:c>
      <x:c r="D100" s="9" t="str">
        <x:v>2026-05</x:v>
      </x:c>
      <x:c r="E100" s="9" t="n">
        <x:v>0</x:v>
      </x:c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1" customHeight="1">
      <x:c r="A101" s="9" t="n">
        <x:v>12</x:v>
      </x:c>
      <x:c r="B101" s="9" t="n">
        <x:v>66</x:v>
      </x:c>
      <x:c r="C101" s="9" t="n">
        <x:v>-6</x:v>
      </x:c>
      <x:c r="D101" s="9" t="str">
        <x:v>2025-12</x:v>
      </x:c>
      <x:c r="E101" s="9" t="n">
        <x:v>31</x:v>
      </x:c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1" customHeight="1">
      <x:c r="A102" s="9" t="n">
        <x:v>12</x:v>
      </x:c>
      <x:c r="B102" s="9" t="n">
        <x:v>66</x:v>
      </x:c>
      <x:c r="C102" s="9" t="n">
        <x:v>-5</x:v>
      </x:c>
      <x:c r="D102" s="9" t="str">
        <x:v>2026-01</x:v>
      </x:c>
      <x:c r="E102" s="9" t="n">
        <x:v>33</x:v>
      </x:c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1" customHeight="1">
      <x:c r="A103" s="9" t="n">
        <x:v>12</x:v>
      </x:c>
      <x:c r="B103" s="9" t="n">
        <x:v>66</x:v>
      </x:c>
      <x:c r="C103" s="9" t="n">
        <x:v>-4</x:v>
      </x:c>
      <x:c r="D103" s="9" t="str">
        <x:v>2026-02</x:v>
      </x:c>
      <x:c r="E103" s="9" t="n">
        <x:v>49</x:v>
      </x:c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1" customHeight="1">
      <x:c r="A104" s="9" t="n">
        <x:v>12</x:v>
      </x:c>
      <x:c r="B104" s="9" t="n">
        <x:v>66</x:v>
      </x:c>
      <x:c r="C104" s="9" t="n">
        <x:v>-3</x:v>
      </x:c>
      <x:c r="D104" s="9" t="str">
        <x:v>2026-03</x:v>
      </x:c>
      <x:c r="E104" s="9" t="n">
        <x:v>48</x:v>
      </x:c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1" customHeight="1">
      <x:c r="A105" s="9" t="n">
        <x:v>12</x:v>
      </x:c>
      <x:c r="B105" s="9" t="n">
        <x:v>66</x:v>
      </x:c>
      <x:c r="C105" s="9" t="n">
        <x:v>-2</x:v>
      </x:c>
      <x:c r="D105" s="9" t="str">
        <x:v>2026-04</x:v>
      </x:c>
      <x:c r="E105" s="9" t="n">
        <x:v>39</x:v>
      </x:c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1" customHeight="1">
      <x:c r="A106" s="9" t="n">
        <x:v>12</x:v>
      </x:c>
      <x:c r="B106" s="9" t="n">
        <x:v>66</x:v>
      </x:c>
      <x:c r="C106" s="9" t="n">
        <x:v>-1</x:v>
      </x:c>
      <x:c r="D106" s="9" t="str">
        <x:v>2026-05</x:v>
      </x:c>
      <x:c r="E106" s="9" t="n">
        <x:v>39</x:v>
      </x:c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1" customHeight="1">
      <x:c r="A107" s="9" t="n">
        <x:v>12</x:v>
      </x:c>
      <x:c r="B107" s="9" t="n">
        <x:v>111</x:v>
      </x:c>
      <x:c r="C107" s="9" t="n">
        <x:v>-6</x:v>
      </x:c>
      <x:c r="D107" s="9" t="str">
        <x:v>2025-12</x:v>
      </x:c>
      <x:c r="E107" s="9" t="n">
        <x:v>94</x:v>
      </x:c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1" customHeight="1">
      <x:c r="A108" s="9" t="n">
        <x:v>12</x:v>
      </x:c>
      <x:c r="B108" s="9" t="n">
        <x:v>111</x:v>
      </x:c>
      <x:c r="C108" s="9" t="n">
        <x:v>-5</x:v>
      </x:c>
      <x:c r="D108" s="9" t="str">
        <x:v>2026-01</x:v>
      </x:c>
      <x:c r="E108" s="9" t="n">
        <x:v>86</x:v>
      </x:c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1" customHeight="1">
      <x:c r="A109" s="9" t="n">
        <x:v>12</x:v>
      </x:c>
      <x:c r="B109" s="9" t="n">
        <x:v>111</x:v>
      </x:c>
      <x:c r="C109" s="9" t="n">
        <x:v>-4</x:v>
      </x:c>
      <x:c r="D109" s="9" t="str">
        <x:v>2026-02</x:v>
      </x:c>
      <x:c r="E109" s="9" t="n">
        <x:v>121</x:v>
      </x:c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1" customHeight="1">
      <x:c r="A110" s="9" t="n">
        <x:v>12</x:v>
      </x:c>
      <x:c r="B110" s="9" t="n">
        <x:v>111</x:v>
      </x:c>
      <x:c r="C110" s="9" t="n">
        <x:v>-3</x:v>
      </x:c>
      <x:c r="D110" s="9" t="str">
        <x:v>2026-03</x:v>
      </x:c>
      <x:c r="E110" s="9" t="n">
        <x:v>126</x:v>
      </x:c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 ht="21" customHeight="1">
      <x:c r="A111" s="9" t="n">
        <x:v>12</x:v>
      </x:c>
      <x:c r="B111" s="9" t="n">
        <x:v>111</x:v>
      </x:c>
      <x:c r="C111" s="9" t="n">
        <x:v>-2</x:v>
      </x:c>
      <x:c r="D111" s="9" t="str">
        <x:v>2026-04</x:v>
      </x:c>
      <x:c r="E111" s="9" t="n">
        <x:v>102</x:v>
      </x:c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 ht="21" customHeight="1">
      <x:c r="A112" s="9" t="n">
        <x:v>12</x:v>
      </x:c>
      <x:c r="B112" s="9" t="n">
        <x:v>111</x:v>
      </x:c>
      <x:c r="C112" s="9" t="n">
        <x:v>-1</x:v>
      </x:c>
      <x:c r="D112" s="9" t="str">
        <x:v>2026-05</x:v>
      </x:c>
      <x:c r="E112" s="9" t="n">
        <x:v>83</x:v>
      </x:c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 ht="21" customHeight="1">
      <x:c r="A113" s="9" t="n">
        <x:v>13</x:v>
      </x:c>
      <x:c r="B113" s="9" t="n">
        <x:v>66</x:v>
      </x:c>
      <x:c r="C113" s="9" t="n">
        <x:v>-6</x:v>
      </x:c>
      <x:c r="D113" s="9" t="str">
        <x:v>2025-12</x:v>
      </x:c>
      <x:c r="E113" s="9" t="n">
        <x:v>24</x:v>
      </x:c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 ht="21" customHeight="1">
      <x:c r="A114" s="9" t="n">
        <x:v>13</x:v>
      </x:c>
      <x:c r="B114" s="9" t="n">
        <x:v>66</x:v>
      </x:c>
      <x:c r="C114" s="9" t="n">
        <x:v>-5</x:v>
      </x:c>
      <x:c r="D114" s="9" t="str">
        <x:v>2026-01</x:v>
      </x:c>
      <x:c r="E114" s="9" t="n">
        <x:v>17</x:v>
      </x:c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 ht="21" customHeight="1">
      <x:c r="A115" s="9" t="n">
        <x:v>13</x:v>
      </x:c>
      <x:c r="B115" s="9" t="n">
        <x:v>66</x:v>
      </x:c>
      <x:c r="C115" s="9" t="n">
        <x:v>-4</x:v>
      </x:c>
      <x:c r="D115" s="9" t="str">
        <x:v>2026-02</x:v>
      </x:c>
      <x:c r="E115" s="9" t="n">
        <x:v>23</x:v>
      </x:c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 ht="21" customHeight="1">
      <x:c r="A116" s="9" t="n">
        <x:v>13</x:v>
      </x:c>
      <x:c r="B116" s="9" t="n">
        <x:v>66</x:v>
      </x:c>
      <x:c r="C116" s="9" t="n">
        <x:v>-3</x:v>
      </x:c>
      <x:c r="D116" s="9" t="str">
        <x:v>2026-03</x:v>
      </x:c>
      <x:c r="E116" s="9" t="n">
        <x:v>26</x:v>
      </x:c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 ht="21" customHeight="1">
      <x:c r="A117" s="9" t="n">
        <x:v>13</x:v>
      </x:c>
      <x:c r="B117" s="9" t="n">
        <x:v>66</x:v>
      </x:c>
      <x:c r="C117" s="9" t="n">
        <x:v>-2</x:v>
      </x:c>
      <x:c r="D117" s="9" t="str">
        <x:v>2026-04</x:v>
      </x:c>
      <x:c r="E117" s="9" t="n">
        <x:v>24</x:v>
      </x:c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 ht="21" customHeight="1">
      <x:c r="A118" s="9" t="n">
        <x:v>13</x:v>
      </x:c>
      <x:c r="B118" s="9" t="n">
        <x:v>66</x:v>
      </x:c>
      <x:c r="C118" s="9" t="n">
        <x:v>-1</x:v>
      </x:c>
      <x:c r="D118" s="9" t="str">
        <x:v>2026-05</x:v>
      </x:c>
      <x:c r="E118" s="9" t="n">
        <x:v>21</x:v>
      </x:c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 ht="21" customHeight="1">
      <x:c r="A119" s="9" t="n">
        <x:v>14</x:v>
      </x:c>
      <x:c r="B119" s="9" t="n">
        <x:v>66</x:v>
      </x:c>
      <x:c r="C119" s="9" t="n">
        <x:v>-6</x:v>
      </x:c>
      <x:c r="D119" s="9" t="str">
        <x:v>2025-12</x:v>
      </x:c>
      <x:c r="E119" s="9" t="n">
        <x:v>0</x:v>
      </x:c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 ht="21" customHeight="1">
      <x:c r="A120" s="9" t="n">
        <x:v>14</x:v>
      </x:c>
      <x:c r="B120" s="9" t="n">
        <x:v>66</x:v>
      </x:c>
      <x:c r="C120" s="9" t="n">
        <x:v>-5</x:v>
      </x:c>
      <x:c r="D120" s="9" t="str">
        <x:v>2026-01</x:v>
      </x:c>
      <x:c r="E120" s="9" t="n">
        <x:v>0</x:v>
      </x:c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 ht="21" customHeight="1">
      <x:c r="A121" s="9" t="n">
        <x:v>14</x:v>
      </x:c>
      <x:c r="B121" s="9" t="n">
        <x:v>66</x:v>
      </x:c>
      <x:c r="C121" s="9" t="n">
        <x:v>-4</x:v>
      </x:c>
      <x:c r="D121" s="9" t="str">
        <x:v>2026-02</x:v>
      </x:c>
      <x:c r="E121" s="9" t="n">
        <x:v>0</x:v>
      </x:c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 ht="21" customHeight="1">
      <x:c r="A122" s="9" t="n">
        <x:v>14</x:v>
      </x:c>
      <x:c r="B122" s="9" t="n">
        <x:v>66</x:v>
      </x:c>
      <x:c r="C122" s="9" t="n">
        <x:v>-3</x:v>
      </x:c>
      <x:c r="D122" s="9" t="str">
        <x:v>2026-03</x:v>
      </x:c>
      <x:c r="E122" s="9" t="n">
        <x:v>0</x:v>
      </x:c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 ht="21" customHeight="1">
      <x:c r="A123" s="9" t="n">
        <x:v>14</x:v>
      </x:c>
      <x:c r="B123" s="9" t="n">
        <x:v>66</x:v>
      </x:c>
      <x:c r="C123" s="9" t="n">
        <x:v>-2</x:v>
      </x:c>
      <x:c r="D123" s="9" t="str">
        <x:v>2026-04</x:v>
      </x:c>
      <x:c r="E123" s="9" t="n">
        <x:v>0</x:v>
      </x:c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 ht="21" customHeight="1">
      <x:c r="A124" s="9" t="n">
        <x:v>14</x:v>
      </x:c>
      <x:c r="B124" s="9" t="n">
        <x:v>66</x:v>
      </x:c>
      <x:c r="C124" s="9" t="n">
        <x:v>-1</x:v>
      </x:c>
      <x:c r="D124" s="9" t="str">
        <x:v>2026-05</x:v>
      </x:c>
      <x:c r="E124" s="9" t="n">
        <x:v>0</x:v>
      </x:c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 ht="21" customHeight="1">
      <x:c r="A125" s="9" t="n">
        <x:v>15</x:v>
      </x:c>
      <x:c r="B125" s="9" t="n">
        <x:v>66</x:v>
      </x:c>
      <x:c r="C125" s="9" t="n">
        <x:v>-6</x:v>
      </x:c>
      <x:c r="D125" s="9" t="str">
        <x:v>2025-12</x:v>
      </x:c>
      <x:c r="E125" s="9" t="n">
        <x:v>37</x:v>
      </x:c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 ht="21" customHeight="1">
      <x:c r="A126" s="9" t="n">
        <x:v>15</x:v>
      </x:c>
      <x:c r="B126" s="9" t="n">
        <x:v>66</x:v>
      </x:c>
      <x:c r="C126" s="9" t="n">
        <x:v>-5</x:v>
      </x:c>
      <x:c r="D126" s="9" t="str">
        <x:v>2026-01</x:v>
      </x:c>
      <x:c r="E126" s="9" t="n">
        <x:v>47</x:v>
      </x:c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 ht="21" customHeight="1">
      <x:c r="A127" s="9" t="n">
        <x:v>15</x:v>
      </x:c>
      <x:c r="B127" s="9" t="n">
        <x:v>66</x:v>
      </x:c>
      <x:c r="C127" s="9" t="n">
        <x:v>-4</x:v>
      </x:c>
      <x:c r="D127" s="9" t="str">
        <x:v>2026-02</x:v>
      </x:c>
      <x:c r="E127" s="9" t="n">
        <x:v>37</x:v>
      </x:c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 ht="21" customHeight="1">
      <x:c r="A128" s="9" t="n">
        <x:v>15</x:v>
      </x:c>
      <x:c r="B128" s="9" t="n">
        <x:v>66</x:v>
      </x:c>
      <x:c r="C128" s="9" t="n">
        <x:v>-3</x:v>
      </x:c>
      <x:c r="D128" s="9" t="str">
        <x:v>2026-03</x:v>
      </x:c>
      <x:c r="E128" s="9" t="n">
        <x:v>54</x:v>
      </x:c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 ht="21" customHeight="1">
      <x:c r="A129" s="9" t="n">
        <x:v>15</x:v>
      </x:c>
      <x:c r="B129" s="9" t="n">
        <x:v>66</x:v>
      </x:c>
      <x:c r="C129" s="9" t="n">
        <x:v>-2</x:v>
      </x:c>
      <x:c r="D129" s="9" t="str">
        <x:v>2026-04</x:v>
      </x:c>
      <x:c r="E129" s="9" t="n">
        <x:v>44</x:v>
      </x:c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 ht="21" customHeight="1">
      <x:c r="A130" s="9" t="n">
        <x:v>15</x:v>
      </x:c>
      <x:c r="B130" s="9" t="n">
        <x:v>66</x:v>
      </x:c>
      <x:c r="C130" s="9" t="n">
        <x:v>-1</x:v>
      </x:c>
      <x:c r="D130" s="9" t="str">
        <x:v>2026-05</x:v>
      </x:c>
      <x:c r="E130" s="9" t="n">
        <x:v>33</x:v>
      </x:c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 ht="21" customHeight="1">
      <x:c r="A131" s="9" t="n">
        <x:v>16</x:v>
      </x:c>
      <x:c r="B131" s="9" t="n">
        <x:v>66</x:v>
      </x:c>
      <x:c r="C131" s="9" t="n">
        <x:v>-6</x:v>
      </x:c>
      <x:c r="D131" s="9" t="str">
        <x:v>2025-12</x:v>
      </x:c>
      <x:c r="E131" s="9" t="n">
        <x:v>57</x:v>
      </x:c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 ht="21" customHeight="1">
      <x:c r="A132" s="9" t="n">
        <x:v>16</x:v>
      </x:c>
      <x:c r="B132" s="9" t="n">
        <x:v>66</x:v>
      </x:c>
      <x:c r="C132" s="9" t="n">
        <x:v>-5</x:v>
      </x:c>
      <x:c r="D132" s="9" t="str">
        <x:v>2026-01</x:v>
      </x:c>
      <x:c r="E132" s="9" t="n">
        <x:v>40</x:v>
      </x:c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 ht="21" customHeight="1">
      <x:c r="A133" s="9" t="n">
        <x:v>16</x:v>
      </x:c>
      <x:c r="B133" s="9" t="n">
        <x:v>66</x:v>
      </x:c>
      <x:c r="C133" s="9" t="n">
        <x:v>-4</x:v>
      </x:c>
      <x:c r="D133" s="9" t="str">
        <x:v>2026-02</x:v>
      </x:c>
      <x:c r="E133" s="9" t="n">
        <x:v>47</x:v>
      </x:c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 ht="21" customHeight="1">
      <x:c r="A134" s="9" t="n">
        <x:v>16</x:v>
      </x:c>
      <x:c r="B134" s="9" t="n">
        <x:v>66</x:v>
      </x:c>
      <x:c r="C134" s="9" t="n">
        <x:v>-3</x:v>
      </x:c>
      <x:c r="D134" s="9" t="str">
        <x:v>2026-03</x:v>
      </x:c>
      <x:c r="E134" s="9" t="n">
        <x:v>66</x:v>
      </x:c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 ht="21" customHeight="1">
      <x:c r="A135" s="9" t="n">
        <x:v>16</x:v>
      </x:c>
      <x:c r="B135" s="9" t="n">
        <x:v>66</x:v>
      </x:c>
      <x:c r="C135" s="9" t="n">
        <x:v>-2</x:v>
      </x:c>
      <x:c r="D135" s="9" t="str">
        <x:v>2026-04</x:v>
      </x:c>
      <x:c r="E135" s="9" t="n">
        <x:v>42</x:v>
      </x:c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 ht="21" customHeight="1">
      <x:c r="A136" s="9" t="n">
        <x:v>16</x:v>
      </x:c>
      <x:c r="B136" s="9" t="n">
        <x:v>66</x:v>
      </x:c>
      <x:c r="C136" s="9" t="n">
        <x:v>-1</x:v>
      </x:c>
      <x:c r="D136" s="9" t="str">
        <x:v>2026-05</x:v>
      </x:c>
      <x:c r="E136" s="9" t="n">
        <x:v>53</x:v>
      </x:c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 ht="21" customHeight="1">
      <x:c r="A137" s="9" t="n">
        <x:v>17</x:v>
      </x:c>
      <x:c r="B137" s="9" t="n">
        <x:v>66</x:v>
      </x:c>
      <x:c r="C137" s="9" t="n">
        <x:v>-6</x:v>
      </x:c>
      <x:c r="D137" s="9" t="str">
        <x:v>2025-12</x:v>
      </x:c>
      <x:c r="E137" s="9" t="n">
        <x:v>0</x:v>
      </x:c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 ht="21" customHeight="1">
      <x:c r="A138" s="9" t="n">
        <x:v>17</x:v>
      </x:c>
      <x:c r="B138" s="9" t="n">
        <x:v>66</x:v>
      </x:c>
      <x:c r="C138" s="9" t="n">
        <x:v>-5</x:v>
      </x:c>
      <x:c r="D138" s="9" t="str">
        <x:v>2026-01</x:v>
      </x:c>
      <x:c r="E138" s="9" t="n">
        <x:v>0</x:v>
      </x:c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 ht="21" customHeight="1">
      <x:c r="A139" s="9" t="n">
        <x:v>17</x:v>
      </x:c>
      <x:c r="B139" s="9" t="n">
        <x:v>66</x:v>
      </x:c>
      <x:c r="C139" s="9" t="n">
        <x:v>-4</x:v>
      </x:c>
      <x:c r="D139" s="9" t="str">
        <x:v>2026-02</x:v>
      </x:c>
      <x:c r="E139" s="9" t="n">
        <x:v>0</x:v>
      </x:c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 ht="21" customHeight="1">
      <x:c r="A140" s="9" t="n">
        <x:v>17</x:v>
      </x:c>
      <x:c r="B140" s="9" t="n">
        <x:v>66</x:v>
      </x:c>
      <x:c r="C140" s="9" t="n">
        <x:v>-3</x:v>
      </x:c>
      <x:c r="D140" s="9" t="str">
        <x:v>2026-03</x:v>
      </x:c>
      <x:c r="E140" s="9" t="n">
        <x:v>0</x:v>
      </x:c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 ht="21" customHeight="1">
      <x:c r="A141" s="9" t="n">
        <x:v>17</x:v>
      </x:c>
      <x:c r="B141" s="9" t="n">
        <x:v>66</x:v>
      </x:c>
      <x:c r="C141" s="9" t="n">
        <x:v>-2</x:v>
      </x:c>
      <x:c r="D141" s="9" t="str">
        <x:v>2026-04</x:v>
      </x:c>
      <x:c r="E141" s="9" t="n">
        <x:v>0</x:v>
      </x:c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 ht="21" customHeight="1">
      <x:c r="A142" s="9" t="n">
        <x:v>17</x:v>
      </x:c>
      <x:c r="B142" s="9" t="n">
        <x:v>66</x:v>
      </x:c>
      <x:c r="C142" s="9" t="n">
        <x:v>-1</x:v>
      </x:c>
      <x:c r="D142" s="9" t="str">
        <x:v>2026-05</x:v>
      </x:c>
      <x:c r="E142" s="9" t="n">
        <x:v>0</x:v>
      </x:c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</x:sheetData>
  <x:pageMargins left="0.7" right="0.7" top="0.75" bottom="0.75" header="0.3" footer="0.3"/>
</x:worksheet>
</file>